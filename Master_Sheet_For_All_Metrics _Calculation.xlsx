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Sheet" sheetId="1" r:id="rId5"/>
    <sheet state="visible" name="SCI" sheetId="2" r:id="rId6"/>
    <sheet state="visible" name="grid intensity and Coverage" sheetId="3" r:id="rId7"/>
  </sheets>
  <definedNames/>
  <calcPr/>
</workbook>
</file>

<file path=xl/sharedStrings.xml><?xml version="1.0" encoding="utf-8"?>
<sst xmlns="http://schemas.openxmlformats.org/spreadsheetml/2006/main" count="1887" uniqueCount="65">
  <si>
    <t>Models</t>
  </si>
  <si>
    <t>Prompts</t>
  </si>
  <si>
    <t>Runs</t>
  </si>
  <si>
    <t xml:space="preserve"> Q %</t>
  </si>
  <si>
    <t>C</t>
  </si>
  <si>
    <t>E</t>
  </si>
  <si>
    <t>Time(S)</t>
  </si>
  <si>
    <t>SCI_g_per_run</t>
  </si>
  <si>
    <t>SCI NORM</t>
  </si>
  <si>
    <t>Time(S)_NORM</t>
  </si>
  <si>
    <t>SVI</t>
  </si>
  <si>
    <t>ECO</t>
  </si>
  <si>
    <t>Model</t>
  </si>
  <si>
    <t>Metric</t>
  </si>
  <si>
    <t xml:space="preserve">Std </t>
  </si>
  <si>
    <t xml:space="preserve">deepseek-coder-7b-instruct-v1.5 </t>
  </si>
  <si>
    <t>Meta-Llama-3-8B-Instruct</t>
  </si>
  <si>
    <t>Mistral-7B-Instruct-v0.3</t>
  </si>
  <si>
    <t>Qwen2.5-1.5B-Instruct</t>
  </si>
  <si>
    <t>Phi-3.5-mini-instruct</t>
  </si>
  <si>
    <t>APV0</t>
  </si>
  <si>
    <t>APᵥ₀</t>
  </si>
  <si>
    <t>SCI</t>
  </si>
  <si>
    <t>APᵥ₁</t>
  </si>
  <si>
    <t>APᵥ₂</t>
  </si>
  <si>
    <t>APᵥ₃</t>
  </si>
  <si>
    <t>APᵥ₃ - 4bit</t>
  </si>
  <si>
    <t>APᵥ₃ - noQuant</t>
  </si>
  <si>
    <t>deepseek-coder</t>
  </si>
  <si>
    <t>Llama-3-8B</t>
  </si>
  <si>
    <t>Mistral-7B</t>
  </si>
  <si>
    <t>Qwen2.5-1.5B</t>
  </si>
  <si>
    <t>Phi-3.5-mini</t>
  </si>
  <si>
    <t>Region</t>
  </si>
  <si>
    <t>SGP</t>
  </si>
  <si>
    <t>USA - oregon</t>
  </si>
  <si>
    <t>USA - nevada</t>
  </si>
  <si>
    <t>NLD - groningen</t>
  </si>
  <si>
    <t>USA- south carolina</t>
  </si>
  <si>
    <t>APV1</t>
  </si>
  <si>
    <t>APV2</t>
  </si>
  <si>
    <t xml:space="preserve">APᵥ₃ - noQuant
</t>
  </si>
  <si>
    <t>model</t>
  </si>
  <si>
    <t>ap_version</t>
  </si>
  <si>
    <t>GF_0.01</t>
  </si>
  <si>
    <t>GF_10</t>
  </si>
  <si>
    <t>GF_1.0</t>
  </si>
  <si>
    <t>GF_0.6</t>
  </si>
  <si>
    <t>GF_0.9</t>
  </si>
  <si>
    <t>GF_1.2</t>
  </si>
  <si>
    <t>GF_1.5</t>
  </si>
  <si>
    <t>GF_1.8</t>
  </si>
  <si>
    <t>Mean_GF_Eco</t>
  </si>
  <si>
    <t>Mean_GF_Quality</t>
  </si>
  <si>
    <t>APV3</t>
  </si>
  <si>
    <t>SCV_C</t>
  </si>
  <si>
    <t>SCV_E</t>
  </si>
  <si>
    <t>APV3-4bit</t>
  </si>
  <si>
    <t>APV3-noQuant</t>
  </si>
  <si>
    <t>Coverage</t>
  </si>
  <si>
    <t>Power grid intensity</t>
  </si>
  <si>
    <t>region</t>
  </si>
  <si>
    <t>Power gridIntensity (gCO₂eq/kWh)</t>
  </si>
  <si>
    <t>Total regions</t>
  </si>
  <si>
    <t>Carbon Intensity (gCO₂eq/kWh)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</si>
</sst>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.000"/>
    <numFmt numFmtId="166" formatCode="0.0"/>
  </numFmts>
  <fonts count="30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b/>
      <sz val="11.0"/>
      <color theme="0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  <font>
      <b/>
      <sz val="11.0"/>
      <color rgb="FFFFFFFF"/>
      <name val="Arial"/>
    </font>
    <font>
      <color rgb="FF990000"/>
      <name val="Arial"/>
      <scheme val="minor"/>
    </font>
    <font/>
    <font>
      <color theme="1"/>
      <name val="Arial"/>
    </font>
    <font>
      <sz val="11.0"/>
      <color rgb="FF434343"/>
      <name val="Roboto"/>
    </font>
    <font>
      <i/>
      <color theme="1"/>
      <name val="Arial"/>
    </font>
    <font>
      <sz val="11.0"/>
      <color rgb="FF454545"/>
      <name val="Monospace"/>
    </font>
    <font>
      <b/>
      <sz val="11.0"/>
      <color theme="1"/>
      <name val="Arial"/>
      <scheme val="minor"/>
    </font>
    <font>
      <b/>
      <i/>
      <color theme="1"/>
      <name val="Arial"/>
    </font>
    <font>
      <sz val="9.0"/>
      <color theme="1"/>
      <name val="Arial"/>
    </font>
    <font>
      <color rgb="FFFFFFFF"/>
      <name val="Arial"/>
    </font>
    <font>
      <b/>
      <color theme="1"/>
      <name val="Arial"/>
      <scheme val="minor"/>
    </font>
    <font>
      <b/>
      <sz val="12.0"/>
      <color theme="0"/>
      <name val="Arial"/>
    </font>
    <font>
      <b/>
      <sz val="13.0"/>
      <color rgb="FFFFFFFF"/>
      <name val="Arial"/>
    </font>
    <font>
      <b/>
      <sz val="13.0"/>
      <color theme="0"/>
      <name val="Arial"/>
    </font>
    <font>
      <sz val="13.0"/>
      <color theme="1"/>
      <name val="Arial"/>
    </font>
    <font>
      <b/>
      <sz val="13.0"/>
      <color rgb="FFFFFFFF"/>
      <name val="Arial"/>
      <scheme val="minor"/>
    </font>
    <font>
      <b/>
      <sz val="11.0"/>
      <color theme="0"/>
      <name val="Arial"/>
    </font>
    <font>
      <b/>
      <sz val="12.0"/>
      <color rgb="FFFFFFFF"/>
      <name val="Arial"/>
    </font>
    <font>
      <b/>
      <color rgb="FFFFFFFF"/>
      <name val="Arial"/>
    </font>
    <font>
      <b/>
      <sz val="12.0"/>
      <color rgb="FFFFFFFF"/>
      <name val="Arial"/>
      <scheme val="minor"/>
    </font>
    <font>
      <b/>
      <color theme="1"/>
      <name val="Arial"/>
    </font>
    <font>
      <b/>
      <color rgb="FF000000"/>
      <name val="Arial"/>
    </font>
    <font>
      <color rgb="FF00000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990000"/>
        <bgColor rgb="FF990000"/>
      </patternFill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  <fill>
      <patternFill patternType="solid">
        <fgColor theme="9"/>
        <bgColor theme="9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BF9000"/>
        <bgColor rgb="FFBF9000"/>
      </patternFill>
    </fill>
    <fill>
      <patternFill patternType="solid">
        <fgColor rgb="FFFFD966"/>
        <bgColor rgb="FFFFD966"/>
      </patternFill>
    </fill>
    <fill>
      <patternFill patternType="solid">
        <fgColor rgb="FF8E7CC3"/>
        <bgColor rgb="FF8E7CC3"/>
      </patternFill>
    </fill>
    <fill>
      <patternFill patternType="solid">
        <fgColor rgb="FFA64D79"/>
        <bgColor rgb="FFA64D79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46BDC6"/>
        <bgColor rgb="FF46BDC6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3" fontId="4" numFmtId="164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5" fontId="4" numFmtId="0" xfId="0" applyAlignment="1" applyFill="1" applyFont="1">
      <alignment readingOrder="0"/>
    </xf>
    <xf borderId="0" fillId="5" fontId="6" numFmtId="0" xfId="0" applyAlignment="1" applyFont="1">
      <alignment readingOrder="0" vertical="bottom"/>
    </xf>
    <xf borderId="0" fillId="6" fontId="7" numFmtId="0" xfId="0" applyFill="1" applyFont="1"/>
    <xf borderId="1" fillId="6" fontId="6" numFmtId="0" xfId="0" applyAlignment="1" applyBorder="1" applyFont="1">
      <alignment horizontal="center" readingOrder="0" shrinkToFit="0" vertical="bottom" wrapText="1"/>
    </xf>
    <xf borderId="2" fillId="6" fontId="6" numFmtId="0" xfId="0" applyAlignment="1" applyBorder="1" applyFont="1">
      <alignment horizontal="center" readingOrder="0" shrinkToFit="0" vertical="bottom" wrapText="1"/>
    </xf>
    <xf borderId="3" fillId="6" fontId="6" numFmtId="0" xfId="0" applyAlignment="1" applyBorder="1" applyFont="1">
      <alignment horizontal="center" readingOrder="0" vertical="bottom"/>
    </xf>
    <xf borderId="2" fillId="6" fontId="6" numFmtId="0" xfId="0" applyAlignment="1" applyBorder="1" applyFont="1">
      <alignment horizontal="center" readingOrder="0" vertical="bottom"/>
    </xf>
    <xf borderId="3" fillId="4" fontId="6" numFmtId="0" xfId="0" applyAlignment="1" applyBorder="1" applyFont="1">
      <alignment horizontal="center" readingOrder="0" vertical="bottom"/>
    </xf>
    <xf borderId="1" fillId="4" fontId="6" numFmtId="0" xfId="0" applyAlignment="1" applyBorder="1" applyFont="1">
      <alignment horizontal="center" readingOrder="0" vertical="bottom"/>
    </xf>
    <xf borderId="2" fillId="0" fontId="8" numFmtId="0" xfId="0" applyBorder="1" applyFont="1"/>
    <xf borderId="3" fillId="0" fontId="8" numFmtId="0" xfId="0" applyBorder="1" applyFont="1"/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5" numFmtId="9" xfId="0" applyAlignment="1" applyFont="1" applyNumberFormat="1">
      <alignment readingOrder="0"/>
    </xf>
    <xf borderId="0" fillId="4" fontId="10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horizontal="right" vertical="bottom"/>
    </xf>
    <xf borderId="0" fillId="0" fontId="5" numFmtId="0" xfId="0" applyFont="1"/>
    <xf borderId="0" fillId="0" fontId="5" numFmtId="164" xfId="0" applyFont="1" applyNumberFormat="1"/>
    <xf borderId="0" fillId="4" fontId="5" numFmtId="0" xfId="0" applyFont="1"/>
    <xf borderId="4" fillId="0" fontId="11" numFmtId="0" xfId="0" applyAlignment="1" applyBorder="1" applyFont="1">
      <alignment horizontal="center" readingOrder="0" vertical="bottom"/>
    </xf>
    <xf borderId="0" fillId="7" fontId="12" numFmtId="0" xfId="0" applyAlignment="1" applyFill="1" applyFont="1">
      <alignment horizontal="left"/>
    </xf>
    <xf borderId="0" fillId="0" fontId="13" numFmtId="0" xfId="0" applyAlignment="1" applyFont="1">
      <alignment readingOrder="0"/>
    </xf>
    <xf borderId="1" fillId="0" fontId="14" numFmtId="0" xfId="0" applyAlignment="1" applyBorder="1" applyFont="1">
      <alignment readingOrder="0" vertical="bottom"/>
    </xf>
    <xf borderId="3" fillId="4" fontId="14" numFmtId="0" xfId="0" applyAlignment="1" applyBorder="1" applyFont="1">
      <alignment readingOrder="0" vertical="bottom"/>
    </xf>
    <xf borderId="2" fillId="4" fontId="14" numFmtId="0" xfId="0" applyAlignment="1" applyBorder="1" applyFont="1">
      <alignment readingOrder="0" vertical="bottom"/>
    </xf>
    <xf borderId="0" fillId="8" fontId="10" numFmtId="0" xfId="0" applyAlignment="1" applyFill="1" applyFont="1">
      <alignment horizontal="right" readingOrder="0" shrinkToFit="0" vertical="bottom" wrapText="0"/>
    </xf>
    <xf borderId="5" fillId="0" fontId="8" numFmtId="0" xfId="0" applyBorder="1" applyFont="1"/>
    <xf borderId="6" fillId="0" fontId="11" numFmtId="0" xfId="0" applyAlignment="1" applyBorder="1" applyFont="1">
      <alignment readingOrder="0" vertical="bottom"/>
    </xf>
    <xf borderId="0" fillId="0" fontId="9" numFmtId="4" xfId="0" applyAlignment="1" applyFont="1" applyNumberFormat="1">
      <alignment horizontal="right" vertical="bottom"/>
    </xf>
    <xf borderId="0" fillId="0" fontId="15" numFmtId="4" xfId="0" applyAlignment="1" applyFont="1" applyNumberFormat="1">
      <alignment horizontal="right" vertical="bottom"/>
    </xf>
    <xf borderId="0" fillId="0" fontId="9" numFmtId="0" xfId="0" applyAlignment="1" applyFont="1">
      <alignment horizontal="right" vertical="bottom"/>
    </xf>
    <xf borderId="0" fillId="0" fontId="5" numFmtId="2" xfId="0" applyFont="1" applyNumberFormat="1"/>
    <xf borderId="0" fillId="7" fontId="5" numFmtId="0" xfId="0" applyFont="1"/>
    <xf borderId="0" fillId="0" fontId="5" numFmtId="0" xfId="0" applyAlignment="1" applyFont="1">
      <alignment horizontal="center"/>
    </xf>
    <xf borderId="0" fillId="7" fontId="16" numFmtId="0" xfId="0" applyAlignment="1" applyFont="1">
      <alignment horizontal="center" readingOrder="0" shrinkToFit="0" vertical="bottom" wrapText="1"/>
    </xf>
    <xf borderId="0" fillId="7" fontId="16" numFmtId="0" xfId="0" applyAlignment="1" applyFont="1">
      <alignment readingOrder="0" vertical="bottom"/>
    </xf>
    <xf borderId="0" fillId="0" fontId="17" numFmtId="0" xfId="0" applyAlignment="1" applyFont="1">
      <alignment horizontal="right" readingOrder="0"/>
    </xf>
    <xf borderId="0" fillId="0" fontId="17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9" numFmtId="4" xfId="0" applyAlignment="1" applyFont="1" applyNumberFormat="1">
      <alignment vertical="bottom"/>
    </xf>
    <xf borderId="0" fillId="0" fontId="5" numFmtId="165" xfId="0" applyFont="1" applyNumberFormat="1"/>
    <xf borderId="0" fillId="0" fontId="9" numFmtId="165" xfId="0" applyAlignment="1" applyFont="1" applyNumberFormat="1">
      <alignment readingOrder="0" vertical="bottom"/>
    </xf>
    <xf borderId="7" fillId="0" fontId="8" numFmtId="0" xfId="0" applyBorder="1" applyFont="1"/>
    <xf borderId="0" fillId="0" fontId="18" numFmtId="0" xfId="0" applyAlignment="1" applyFont="1">
      <alignment vertical="bottom"/>
    </xf>
    <xf borderId="0" fillId="4" fontId="18" numFmtId="0" xfId="0" applyAlignment="1" applyFont="1">
      <alignment vertical="bottom"/>
    </xf>
    <xf borderId="0" fillId="4" fontId="3" numFmtId="0" xfId="0" applyAlignment="1" applyFont="1">
      <alignment horizontal="center" readingOrder="0"/>
    </xf>
    <xf borderId="0" fillId="0" fontId="9" numFmtId="0" xfId="0" applyAlignment="1" applyFont="1">
      <alignment shrinkToFit="0" vertical="bottom" wrapText="1"/>
    </xf>
    <xf borderId="0" fillId="4" fontId="9" numFmtId="0" xfId="0" applyAlignment="1" applyFont="1">
      <alignment vertical="bottom"/>
    </xf>
    <xf borderId="0" fillId="7" fontId="5" numFmtId="0" xfId="0" applyFont="1"/>
    <xf borderId="0" fillId="9" fontId="9" numFmtId="0" xfId="0" applyAlignment="1" applyFill="1" applyFont="1">
      <alignment readingOrder="0" vertical="bottom"/>
    </xf>
    <xf borderId="0" fillId="9" fontId="5" numFmtId="0" xfId="0" applyAlignment="1" applyFont="1">
      <alignment readingOrder="0"/>
    </xf>
    <xf borderId="0" fillId="0" fontId="9" numFmtId="2" xfId="0" applyAlignment="1" applyFont="1" applyNumberFormat="1">
      <alignment horizontal="right" readingOrder="0" vertical="bottom"/>
    </xf>
    <xf borderId="0" fillId="7" fontId="12" numFmtId="0" xfId="0" applyAlignment="1" applyFont="1">
      <alignment horizontal="right"/>
    </xf>
    <xf borderId="0" fillId="4" fontId="4" numFmtId="0" xfId="0" applyAlignment="1" applyFont="1">
      <alignment horizontal="center" readingOrder="0"/>
    </xf>
    <xf borderId="8" fillId="10" fontId="5" numFmtId="0" xfId="0" applyAlignment="1" applyBorder="1" applyFill="1" applyFont="1">
      <alignment horizontal="center" readingOrder="0"/>
    </xf>
    <xf borderId="8" fillId="0" fontId="8" numFmtId="0" xfId="0" applyBorder="1" applyFont="1"/>
    <xf borderId="8" fillId="11" fontId="5" numFmtId="0" xfId="0" applyAlignment="1" applyBorder="1" applyFill="1" applyFont="1">
      <alignment horizontal="center" readingOrder="0"/>
    </xf>
    <xf borderId="0" fillId="4" fontId="5" numFmtId="0" xfId="0" applyAlignment="1" applyFont="1">
      <alignment horizontal="center" readingOrder="0"/>
    </xf>
    <xf borderId="0" fillId="12" fontId="19" numFmtId="0" xfId="0" applyAlignment="1" applyFill="1" applyFont="1">
      <alignment horizontal="center" readingOrder="0" vertical="bottom"/>
    </xf>
    <xf borderId="5" fillId="0" fontId="11" numFmtId="0" xfId="0" applyAlignment="1" applyBorder="1" applyFont="1">
      <alignment horizontal="center" readingOrder="0" vertical="bottom"/>
    </xf>
    <xf borderId="0" fillId="9" fontId="20" numFmtId="0" xfId="0" applyAlignment="1" applyFont="1">
      <alignment vertical="bottom"/>
    </xf>
    <xf borderId="0" fillId="9" fontId="20" numFmtId="0" xfId="0" applyAlignment="1" applyFont="1">
      <alignment readingOrder="0" vertical="bottom"/>
    </xf>
    <xf borderId="9" fillId="9" fontId="19" numFmtId="0" xfId="0" applyAlignment="1" applyBorder="1" applyFont="1">
      <alignment readingOrder="0" vertical="bottom"/>
    </xf>
    <xf borderId="1" fillId="0" fontId="11" numFmtId="0" xfId="0" applyAlignment="1" applyBorder="1" applyFont="1">
      <alignment readingOrder="0" vertical="bottom"/>
    </xf>
    <xf borderId="9" fillId="7" fontId="21" numFmtId="165" xfId="0" applyAlignment="1" applyBorder="1" applyFont="1" applyNumberFormat="1">
      <alignment horizontal="right" vertical="bottom"/>
    </xf>
    <xf borderId="0" fillId="7" fontId="9" numFmtId="165" xfId="0" applyAlignment="1" applyFont="1" applyNumberFormat="1">
      <alignment horizontal="right" vertical="bottom"/>
    </xf>
    <xf borderId="0" fillId="0" fontId="9" numFmtId="0" xfId="0" applyAlignment="1" applyFont="1">
      <alignment horizontal="right" readingOrder="0" vertical="bottom"/>
    </xf>
    <xf borderId="9" fillId="4" fontId="21" numFmtId="165" xfId="0" applyAlignment="1" applyBorder="1" applyFont="1" applyNumberFormat="1">
      <alignment horizontal="right" vertical="bottom"/>
    </xf>
    <xf borderId="0" fillId="0" fontId="9" numFmtId="165" xfId="0" applyAlignment="1" applyFont="1" applyNumberFormat="1">
      <alignment horizontal="right" vertical="bottom"/>
    </xf>
    <xf borderId="0" fillId="4" fontId="19" numFmtId="0" xfId="0" applyAlignment="1" applyFont="1">
      <alignment horizontal="center" readingOrder="0" vertical="bottom"/>
    </xf>
    <xf borderId="0" fillId="4" fontId="22" numFmtId="0" xfId="0" applyAlignment="1" applyFont="1">
      <alignment horizontal="center" readingOrder="0"/>
    </xf>
    <xf borderId="0" fillId="4" fontId="23" numFmtId="0" xfId="0" applyAlignment="1" applyFont="1">
      <alignment vertical="bottom"/>
    </xf>
    <xf borderId="0" fillId="4" fontId="20" numFmtId="0" xfId="0" applyAlignment="1" applyFont="1">
      <alignment vertical="bottom"/>
    </xf>
    <xf borderId="0" fillId="4" fontId="9" numFmtId="0" xfId="0" applyAlignment="1" applyFont="1">
      <alignment readingOrder="0" vertical="bottom"/>
    </xf>
    <xf borderId="0" fillId="4" fontId="5" numFmtId="165" xfId="0" applyFont="1" applyNumberFormat="1"/>
    <xf borderId="0" fillId="4" fontId="6" numFmtId="0" xfId="0" applyAlignment="1" applyFont="1">
      <alignment horizontal="center" readingOrder="0" vertical="bottom"/>
    </xf>
    <xf borderId="0" fillId="0" fontId="9" numFmtId="166" xfId="0" applyAlignment="1" applyFont="1" applyNumberFormat="1">
      <alignment horizontal="center" readingOrder="0" vertical="bottom"/>
    </xf>
    <xf borderId="0" fillId="4" fontId="16" numFmtId="0" xfId="0" applyAlignment="1" applyFont="1">
      <alignment readingOrder="0" vertical="bottom"/>
    </xf>
    <xf borderId="0" fillId="4" fontId="17" numFmtId="0" xfId="0" applyAlignment="1" applyFont="1">
      <alignment horizontal="right" readingOrder="0"/>
    </xf>
    <xf borderId="0" fillId="4" fontId="17" numFmtId="0" xfId="0" applyAlignment="1" applyFont="1">
      <alignment readingOrder="0"/>
    </xf>
    <xf borderId="0" fillId="4" fontId="5" numFmtId="0" xfId="0" applyAlignment="1" applyFont="1">
      <alignment horizontal="right" readingOrder="0"/>
    </xf>
    <xf borderId="0" fillId="4" fontId="9" numFmtId="165" xfId="0" applyAlignment="1" applyFont="1" applyNumberFormat="1">
      <alignment readingOrder="0" vertical="bottom"/>
    </xf>
    <xf borderId="0" fillId="4" fontId="9" numFmtId="0" xfId="0" applyAlignment="1" applyFont="1">
      <alignment shrinkToFit="0" vertical="bottom" wrapText="1"/>
    </xf>
    <xf borderId="0" fillId="13" fontId="23" numFmtId="0" xfId="0" applyAlignment="1" applyFill="1" applyFont="1">
      <alignment vertical="bottom"/>
    </xf>
    <xf borderId="0" fillId="5" fontId="24" numFmtId="0" xfId="0" applyAlignment="1" applyFont="1">
      <alignment readingOrder="0" vertical="bottom"/>
    </xf>
    <xf borderId="0" fillId="4" fontId="9" numFmtId="0" xfId="0" applyAlignment="1" applyFont="1">
      <alignment horizontal="right" vertical="bottom"/>
    </xf>
    <xf borderId="0" fillId="4" fontId="9" numFmtId="0" xfId="0" applyAlignment="1" applyFont="1">
      <alignment horizontal="right" readingOrder="0" vertical="bottom"/>
    </xf>
    <xf borderId="0" fillId="4" fontId="9" numFmtId="164" xfId="0" applyAlignment="1" applyFont="1" applyNumberFormat="1">
      <alignment horizontal="right" vertical="bottom"/>
    </xf>
    <xf borderId="0" fillId="4" fontId="10" numFmtId="9" xfId="0" applyAlignment="1" applyFont="1" applyNumberFormat="1">
      <alignment horizontal="right" readingOrder="0" shrinkToFit="0" vertical="bottom" wrapText="0"/>
    </xf>
    <xf borderId="0" fillId="9" fontId="25" numFmtId="0" xfId="0" applyAlignment="1" applyFont="1">
      <alignment readingOrder="0" vertical="bottom"/>
    </xf>
    <xf borderId="0" fillId="9" fontId="1" numFmtId="0" xfId="0" applyAlignment="1" applyFont="1">
      <alignment readingOrder="0"/>
    </xf>
    <xf borderId="0" fillId="14" fontId="9" numFmtId="0" xfId="0" applyAlignment="1" applyFill="1" applyFont="1">
      <alignment readingOrder="0" vertical="bottom"/>
    </xf>
    <xf borderId="0" fillId="14" fontId="5" numFmtId="0" xfId="0" applyAlignment="1" applyFont="1">
      <alignment readingOrder="0"/>
    </xf>
    <xf borderId="0" fillId="15" fontId="25" numFmtId="0" xfId="0" applyAlignment="1" applyFill="1" applyFont="1">
      <alignment readingOrder="0" vertical="bottom"/>
    </xf>
    <xf borderId="0" fillId="15" fontId="1" numFmtId="0" xfId="0" applyAlignment="1" applyFont="1">
      <alignment readingOrder="0"/>
    </xf>
    <xf borderId="0" fillId="16" fontId="6" numFmtId="0" xfId="0" applyAlignment="1" applyFill="1" applyFont="1">
      <alignment readingOrder="0" vertical="bottom"/>
    </xf>
    <xf borderId="0" fillId="16" fontId="4" numFmtId="0" xfId="0" applyAlignment="1" applyFont="1">
      <alignment readingOrder="0"/>
    </xf>
    <xf borderId="0" fillId="4" fontId="26" numFmtId="0" xfId="0" applyAlignment="1" applyFont="1">
      <alignment horizontal="center" readingOrder="0"/>
    </xf>
    <xf borderId="0" fillId="0" fontId="5" numFmtId="4" xfId="0" applyFont="1" applyNumberFormat="1"/>
    <xf borderId="0" fillId="0" fontId="5" numFmtId="2" xfId="0" applyAlignment="1" applyFont="1" applyNumberFormat="1">
      <alignment readingOrder="0"/>
    </xf>
    <xf borderId="0" fillId="4" fontId="16" numFmtId="0" xfId="0" applyAlignment="1" applyFont="1">
      <alignment horizontal="center" readingOrder="0" shrinkToFit="0" vertical="bottom" wrapText="1"/>
    </xf>
    <xf borderId="0" fillId="7" fontId="25" numFmtId="0" xfId="0" applyAlignment="1" applyFont="1">
      <alignment horizontal="center" shrinkToFit="0" vertical="bottom" wrapText="1"/>
    </xf>
    <xf borderId="0" fillId="17" fontId="9" numFmtId="0" xfId="0" applyAlignment="1" applyFill="1" applyFont="1">
      <alignment vertical="bottom"/>
    </xf>
    <xf borderId="0" fillId="17" fontId="25" numFmtId="0" xfId="0" applyAlignment="1" applyFont="1">
      <alignment horizontal="center" readingOrder="0" shrinkToFit="0" vertical="bottom" wrapText="1"/>
    </xf>
    <xf borderId="0" fillId="18" fontId="25" numFmtId="0" xfId="0" applyAlignment="1" applyFill="1" applyFont="1">
      <alignment shrinkToFit="0" vertical="bottom" wrapText="1"/>
    </xf>
    <xf borderId="0" fillId="3" fontId="25" numFmtId="0" xfId="0" applyAlignment="1" applyFont="1">
      <alignment shrinkToFit="0" vertical="bottom" wrapText="1"/>
    </xf>
    <xf borderId="0" fillId="19" fontId="25" numFmtId="0" xfId="0" applyAlignment="1" applyFill="1" applyFont="1">
      <alignment shrinkToFit="0" vertical="bottom" wrapText="1"/>
    </xf>
    <xf borderId="0" fillId="16" fontId="25" numFmtId="0" xfId="0" applyAlignment="1" applyFont="1">
      <alignment shrinkToFit="0" vertical="bottom" wrapText="1"/>
    </xf>
    <xf borderId="0" fillId="20" fontId="25" numFmtId="0" xfId="0" applyAlignment="1" applyFill="1" applyFont="1">
      <alignment shrinkToFit="0" vertical="bottom" wrapText="1"/>
    </xf>
    <xf borderId="0" fillId="0" fontId="27" numFmtId="0" xfId="0" applyAlignment="1" applyFont="1">
      <alignment vertical="bottom"/>
    </xf>
    <xf borderId="0" fillId="0" fontId="9" numFmtId="9" xfId="0" applyAlignment="1" applyFont="1" applyNumberFormat="1">
      <alignment horizontal="right" vertical="bottom"/>
    </xf>
    <xf borderId="0" fillId="0" fontId="27" numFmtId="0" xfId="0" applyAlignment="1" applyFont="1">
      <alignment shrinkToFit="0" vertical="bottom" wrapText="1"/>
    </xf>
    <xf borderId="0" fillId="21" fontId="28" numFmtId="0" xfId="0" applyAlignment="1" applyFill="1" applyFont="1">
      <alignment vertical="bottom"/>
    </xf>
    <xf borderId="0" fillId="21" fontId="28" numFmtId="0" xfId="0" applyAlignment="1" applyFont="1">
      <alignment shrinkToFit="0" vertical="bottom" wrapText="1"/>
    </xf>
    <xf borderId="0" fillId="21" fontId="29" numFmtId="0" xfId="0" applyAlignment="1" applyFont="1">
      <alignment vertical="bottom"/>
    </xf>
    <xf borderId="0" fillId="21" fontId="29" numFmtId="0" xfId="0" applyAlignment="1" applyFont="1">
      <alignment horizontal="right" vertical="bottom"/>
    </xf>
    <xf borderId="0" fillId="21" fontId="29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2" pivot="0" name="Master_Sheet-style">
      <tableStyleElement dxfId="1" type="firstRowStripe"/>
      <tableStyleElement dxfId="2" type="secondRowStripe"/>
    </tableStyle>
    <tableStyle count="2" pivot="0" name="Master_Sheet-style 2">
      <tableStyleElement dxfId="1" type="firstRowStripe"/>
      <tableStyleElement dxfId="2" type="secondRowStripe"/>
    </tableStyle>
    <tableStyle count="2" pivot="0" name="Master_Sheet-style 3">
      <tableStyleElement dxfId="1" type="firstRowStripe"/>
      <tableStyleElement dxfId="2" type="secondRowStripe"/>
    </tableStyle>
    <tableStyle count="2" pivot="0" name="Master_Sheet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Master_Sheet!$P$123:$P$124</c:f>
            </c:strRef>
          </c:tx>
          <c:cat>
            <c:strRef>
              <c:f>Master_Sheet!$O$125:$O$129</c:f>
            </c:strRef>
          </c:cat>
          <c:val>
            <c:numRef>
              <c:f>Master_Sheet!$P$125:$P$129</c:f>
              <c:numCache/>
            </c:numRef>
          </c:val>
        </c:ser>
        <c:ser>
          <c:idx val="1"/>
          <c:order val="1"/>
          <c:tx>
            <c:strRef>
              <c:f>Master_Sheet!$Q$123:$Q$124</c:f>
            </c:strRef>
          </c:tx>
          <c:cat>
            <c:strRef>
              <c:f>Master_Sheet!$O$125:$O$129</c:f>
            </c:strRef>
          </c:cat>
          <c:val>
            <c:numRef>
              <c:f>Master_Sheet!$Q$125:$Q$129</c:f>
              <c:numCache/>
            </c:numRef>
          </c:val>
        </c:ser>
        <c:ser>
          <c:idx val="2"/>
          <c:order val="2"/>
          <c:tx>
            <c:strRef>
              <c:f>Master_Sheet!$R$123:$R$124</c:f>
            </c:strRef>
          </c:tx>
          <c:cat>
            <c:strRef>
              <c:f>Master_Sheet!$O$125:$O$129</c:f>
            </c:strRef>
          </c:cat>
          <c:val>
            <c:numRef>
              <c:f>Master_Sheet!$R$125:$R$129</c:f>
              <c:numCache/>
            </c:numRef>
          </c:val>
        </c:ser>
        <c:ser>
          <c:idx val="3"/>
          <c:order val="3"/>
          <c:tx>
            <c:strRef>
              <c:f>Master_Sheet!$S$123:$S$124</c:f>
            </c:strRef>
          </c:tx>
          <c:cat>
            <c:strRef>
              <c:f>Master_Sheet!$O$125:$O$129</c:f>
            </c:strRef>
          </c:cat>
          <c:val>
            <c:numRef>
              <c:f>Master_Sheet!$S$125:$S$129</c:f>
              <c:numCache/>
            </c:numRef>
          </c:val>
        </c:ser>
        <c:ser>
          <c:idx val="4"/>
          <c:order val="4"/>
          <c:tx>
            <c:strRef>
              <c:f>Master_Sheet!$T$123:$T$124</c:f>
            </c:strRef>
          </c:tx>
          <c:cat>
            <c:strRef>
              <c:f>Master_Sheet!$O$125:$O$129</c:f>
            </c:strRef>
          </c:cat>
          <c:val>
            <c:numRef>
              <c:f>Master_Sheet!$T$125:$T$129</c:f>
              <c:numCache/>
            </c:numRef>
          </c:val>
        </c:ser>
        <c:ser>
          <c:idx val="5"/>
          <c:order val="5"/>
          <c:tx>
            <c:strRef>
              <c:f>Master_Sheet!$U$123:$U$124</c:f>
            </c:strRef>
          </c:tx>
          <c:cat>
            <c:strRef>
              <c:f>Master_Sheet!$O$125:$O$129</c:f>
            </c:strRef>
          </c:cat>
          <c:val>
            <c:numRef>
              <c:f>Master_Sheet!$U$125:$U$129</c:f>
              <c:numCache/>
            </c:numRef>
          </c:val>
        </c:ser>
        <c:ser>
          <c:idx val="6"/>
          <c:order val="6"/>
          <c:tx>
            <c:strRef>
              <c:f>Master_Sheet!$V$123:$V$124</c:f>
            </c:strRef>
          </c:tx>
          <c:cat>
            <c:strRef>
              <c:f>Master_Sheet!$O$125:$O$129</c:f>
            </c:strRef>
          </c:cat>
          <c:val>
            <c:numRef>
              <c:f>Master_Sheet!$V$125:$V$129</c:f>
              <c:numCache/>
            </c:numRef>
          </c:val>
        </c:ser>
        <c:ser>
          <c:idx val="7"/>
          <c:order val="7"/>
          <c:tx>
            <c:strRef>
              <c:f>Master_Sheet!$W$123:$W$124</c:f>
            </c:strRef>
          </c:tx>
          <c:cat>
            <c:strRef>
              <c:f>Master_Sheet!$O$125:$O$129</c:f>
            </c:strRef>
          </c:cat>
          <c:val>
            <c:numRef>
              <c:f>Master_Sheet!$W$125:$W$129</c:f>
              <c:numCache/>
            </c:numRef>
          </c:val>
        </c:ser>
        <c:ser>
          <c:idx val="8"/>
          <c:order val="8"/>
          <c:tx>
            <c:strRef>
              <c:f>Master_Sheet!$X$123:$X$124</c:f>
            </c:strRef>
          </c:tx>
          <c:cat>
            <c:strRef>
              <c:f>Master_Sheet!$O$125:$O$129</c:f>
            </c:strRef>
          </c:cat>
          <c:val>
            <c:numRef>
              <c:f>Master_Sheet!$X$125:$X$129</c:f>
              <c:numCache/>
            </c:numRef>
          </c:val>
        </c:ser>
        <c:axId val="1624580219"/>
        <c:axId val="1852872145"/>
      </c:barChart>
      <c:catAx>
        <c:axId val="16245802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852872145"/>
      </c:catAx>
      <c:valAx>
        <c:axId val="185287214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24580219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axId val="1507319459"/>
        <c:axId val="892579137"/>
      </c:lineChart>
      <c:catAx>
        <c:axId val="1507319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2579137"/>
      </c:catAx>
      <c:valAx>
        <c:axId val="89257913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073194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1504950</xdr:colOff>
      <xdr:row>154</xdr:row>
      <xdr:rowOff>104775</xdr:rowOff>
    </xdr:from>
    <xdr:ext cx="6210300" cy="3190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23</xdr:col>
      <xdr:colOff>28575</xdr:colOff>
      <xdr:row>165</xdr:row>
      <xdr:rowOff>66675</xdr:rowOff>
    </xdr:from>
    <xdr:ext cx="4629150" cy="2800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2:E34" displayName="Table_1" name="Table_1" id="1">
  <tableColumns count="2">
    <tableColumn name="Column1" id="1"/>
    <tableColumn name="Column2" id="2"/>
  </tableColumns>
  <tableStyleInfo name="Master_Sheet-style" showColumnStripes="0" showFirstColumn="1" showLastColumn="1" showRowStripes="1"/>
</table>
</file>

<file path=xl/tables/table2.xml><?xml version="1.0" encoding="utf-8"?>
<table xmlns="http://schemas.openxmlformats.org/spreadsheetml/2006/main" headerRowCount="0" ref="D134:E166" displayName="Table_2" name="Table_2" id="2">
  <tableColumns count="2">
    <tableColumn name="Column1" id="1"/>
    <tableColumn name="Column2" id="2"/>
  </tableColumns>
  <tableStyleInfo name="Master_Sheet-style 2" showColumnStripes="0" showFirstColumn="1" showLastColumn="1" showRowStripes="1"/>
</table>
</file>

<file path=xl/tables/table3.xml><?xml version="1.0" encoding="utf-8"?>
<table xmlns="http://schemas.openxmlformats.org/spreadsheetml/2006/main" headerRowCount="0" ref="D266:E298" displayName="Table_3" name="Table_3" id="3">
  <tableColumns count="2">
    <tableColumn name="Column1" id="1"/>
    <tableColumn name="Column2" id="2"/>
  </tableColumns>
  <tableStyleInfo name="Master_Sheet-style 3" showColumnStripes="0" showFirstColumn="1" showLastColumn="1" showRowStripes="1"/>
</table>
</file>

<file path=xl/tables/table4.xml><?xml version="1.0" encoding="utf-8"?>
<table xmlns="http://schemas.openxmlformats.org/spreadsheetml/2006/main" headerRowCount="0" ref="D398:E430" displayName="Table_4" name="Table_4" id="4">
  <tableColumns count="2">
    <tableColumn name="Column1" id="1"/>
    <tableColumn name="Column2" id="2"/>
  </tableColumns>
  <tableStyleInfo name="Master_Sheet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5.5"/>
    <col customWidth="1" min="7" max="7" width="15.75"/>
    <col customWidth="1" min="9" max="12" width="21.0"/>
    <col customWidth="1" min="13" max="13" width="28.0"/>
    <col customWidth="1" min="14" max="14" width="23.13"/>
    <col customWidth="1" min="15" max="16" width="20.0"/>
    <col customWidth="1" min="17" max="19" width="23.38"/>
    <col customWidth="1" min="20" max="20" width="23.75"/>
    <col customWidth="1" min="21" max="22" width="20.0"/>
    <col customWidth="1" min="23" max="23" width="26.25"/>
    <col customWidth="1" min="24" max="24" width="17.75"/>
    <col customWidth="1" min="25" max="25" width="19.5"/>
    <col customWidth="1" min="26" max="26" width="24.88"/>
    <col customWidth="1" min="27" max="28" width="15.38"/>
    <col customWidth="1" min="29" max="29" width="23.13"/>
    <col customWidth="1" min="30" max="30" width="25.0"/>
    <col customWidth="1" min="31" max="31" width="19.38"/>
    <col customWidth="1" min="32" max="32" width="17.38"/>
    <col customWidth="1" min="33" max="33" width="21.63"/>
    <col customWidth="1" min="34" max="34" width="18.75"/>
    <col customWidth="1" min="35" max="35" width="16.63"/>
    <col customWidth="1" min="36" max="36" width="15.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/>
      <c r="N1" s="7"/>
      <c r="O1" s="8" t="s">
        <v>12</v>
      </c>
      <c r="P1" s="9" t="s">
        <v>13</v>
      </c>
      <c r="Q1" s="8" t="s">
        <v>14</v>
      </c>
      <c r="R1" s="6"/>
      <c r="S1" s="10"/>
      <c r="T1" s="11" t="s">
        <v>15</v>
      </c>
      <c r="U1" s="11" t="s">
        <v>16</v>
      </c>
      <c r="V1" s="12" t="s">
        <v>17</v>
      </c>
      <c r="W1" s="13" t="s">
        <v>18</v>
      </c>
      <c r="X1" s="14" t="s">
        <v>19</v>
      </c>
      <c r="Y1" s="15"/>
      <c r="Z1" s="16"/>
      <c r="AA1" s="17"/>
      <c r="AB1" s="18"/>
      <c r="AC1" s="16"/>
      <c r="AD1" s="17"/>
      <c r="AE1" s="18"/>
      <c r="AF1" s="16"/>
      <c r="AG1" s="17"/>
      <c r="AH1" s="18"/>
      <c r="AI1" s="19"/>
      <c r="AJ1" s="19"/>
      <c r="AK1" s="19"/>
    </row>
    <row r="2">
      <c r="A2" s="20" t="s">
        <v>15</v>
      </c>
      <c r="B2" s="7" t="s">
        <v>20</v>
      </c>
      <c r="C2" s="7">
        <v>1.0</v>
      </c>
      <c r="D2" s="21">
        <v>0.88</v>
      </c>
      <c r="E2" s="22">
        <v>5.37</v>
      </c>
      <c r="F2" s="7">
        <v>0.011</v>
      </c>
      <c r="G2" s="23">
        <v>388.927442371</v>
      </c>
      <c r="H2" s="24">
        <f t="shared" ref="H2:H34" si="1">F2*477/5</f>
        <v>1.0494</v>
      </c>
      <c r="I2" s="25">
        <f t="shared" ref="I2:I34" si="2">(H2-MIN($H$2:$H$34))/(MAX($H$2:$H$34)-MIN($H$2:$H$34))</f>
        <v>0.4</v>
      </c>
      <c r="J2" s="24">
        <f t="shared" ref="J2:J34" si="3">(G2-MIN($G$2:$G$34))/(MAX($G$2:$G$34)-MIN($G$2:$G$34))</f>
        <v>0.4988490792</v>
      </c>
      <c r="K2" s="24">
        <f t="shared" ref="K2:K34" si="4">0.88*(1/(1+I2))*(1/(1+J2))*(1-0.0954)</f>
        <v>0.3793615529</v>
      </c>
      <c r="L2" s="24">
        <f t="shared" ref="L2:L793" si="5">1/(1+I2)*(1+J2)</f>
        <v>1.070606485</v>
      </c>
      <c r="M2" s="26"/>
      <c r="N2" s="27" t="s">
        <v>21</v>
      </c>
      <c r="O2" s="20" t="s">
        <v>15</v>
      </c>
      <c r="P2" s="19" t="s">
        <v>7</v>
      </c>
      <c r="Q2" s="28">
        <f>_xlfn.STDEV.P(H2,H34)</f>
        <v>0.0954</v>
      </c>
      <c r="R2" s="26"/>
      <c r="S2" s="29" t="s">
        <v>1</v>
      </c>
      <c r="T2" s="30" t="s">
        <v>22</v>
      </c>
      <c r="U2" s="30" t="s">
        <v>22</v>
      </c>
      <c r="V2" s="30" t="s">
        <v>22</v>
      </c>
      <c r="W2" s="30" t="s">
        <v>22</v>
      </c>
      <c r="X2" s="30" t="s">
        <v>22</v>
      </c>
      <c r="Y2" s="31"/>
      <c r="Z2" s="26"/>
      <c r="AA2" s="32"/>
      <c r="AB2" s="31"/>
      <c r="AC2" s="26"/>
      <c r="AD2" s="32"/>
      <c r="AE2" s="31"/>
      <c r="AF2" s="26"/>
      <c r="AG2" s="32"/>
      <c r="AH2" s="31"/>
      <c r="AI2" s="19"/>
      <c r="AJ2" s="19"/>
      <c r="AK2" s="19"/>
    </row>
    <row r="3">
      <c r="A3" s="20" t="s">
        <v>15</v>
      </c>
      <c r="B3" s="7" t="s">
        <v>20</v>
      </c>
      <c r="C3" s="7">
        <v>2.0</v>
      </c>
      <c r="D3" s="21">
        <v>0.88</v>
      </c>
      <c r="E3" s="33">
        <v>6.02</v>
      </c>
      <c r="F3" s="7">
        <v>0.013</v>
      </c>
      <c r="G3" s="23">
        <v>429.008675462999</v>
      </c>
      <c r="H3" s="24">
        <f t="shared" si="1"/>
        <v>1.2402</v>
      </c>
      <c r="I3" s="25">
        <f t="shared" si="2"/>
        <v>0.8</v>
      </c>
      <c r="J3" s="24">
        <f t="shared" si="3"/>
        <v>0.7343169428</v>
      </c>
      <c r="K3" s="24">
        <f t="shared" si="4"/>
        <v>0.2549988863</v>
      </c>
      <c r="L3" s="24">
        <f t="shared" si="5"/>
        <v>0.9635094127</v>
      </c>
      <c r="M3" s="26"/>
      <c r="N3" s="34"/>
      <c r="O3" s="20"/>
      <c r="P3" s="19"/>
      <c r="R3" s="26"/>
      <c r="S3" s="35" t="s">
        <v>21</v>
      </c>
      <c r="T3" s="36">
        <f>AVERAGE(H2,H34)</f>
        <v>0.954</v>
      </c>
      <c r="U3" s="36">
        <f>AVERAGE(H134,H166)</f>
        <v>0.3726</v>
      </c>
      <c r="V3" s="36">
        <f>AVERAGE(H266,H298)</f>
        <v>1.3688</v>
      </c>
      <c r="W3" s="37">
        <f>AVERAGE(H398,H430)</f>
        <v>0.5247</v>
      </c>
      <c r="X3" s="36">
        <f>AVERAGE(H530,H562)</f>
        <v>0.5724</v>
      </c>
      <c r="Y3" s="38"/>
      <c r="AA3" s="38"/>
      <c r="AB3" s="38"/>
      <c r="AD3" s="38"/>
      <c r="AE3" s="38"/>
      <c r="AG3" s="38"/>
      <c r="AH3" s="38"/>
      <c r="AI3" s="19"/>
      <c r="AJ3" s="19"/>
      <c r="AK3" s="19"/>
    </row>
    <row r="4">
      <c r="A4" s="20" t="s">
        <v>15</v>
      </c>
      <c r="B4" s="7" t="s">
        <v>20</v>
      </c>
      <c r="C4" s="7">
        <v>3.0</v>
      </c>
      <c r="D4" s="21">
        <v>0.88</v>
      </c>
      <c r="E4" s="22">
        <v>4.99</v>
      </c>
      <c r="F4" s="7">
        <v>0.011</v>
      </c>
      <c r="G4" s="23">
        <v>357.848305311</v>
      </c>
      <c r="H4" s="24">
        <f t="shared" si="1"/>
        <v>1.0494</v>
      </c>
      <c r="I4" s="25">
        <f t="shared" si="2"/>
        <v>0.4</v>
      </c>
      <c r="J4" s="24">
        <f t="shared" si="3"/>
        <v>0.316266423</v>
      </c>
      <c r="K4" s="24">
        <f t="shared" si="4"/>
        <v>0.4319837568</v>
      </c>
      <c r="L4" s="24">
        <f t="shared" si="5"/>
        <v>0.9401903021</v>
      </c>
      <c r="M4" s="6"/>
      <c r="N4" s="34"/>
      <c r="O4" s="20"/>
      <c r="P4" s="19"/>
      <c r="R4" s="6"/>
      <c r="S4" s="35" t="s">
        <v>23</v>
      </c>
      <c r="T4" s="36">
        <f>AVERAGE(H35,H67)</f>
        <v>0.9912</v>
      </c>
      <c r="U4" s="36">
        <f>AVERAGE(H167,H199)</f>
        <v>1.3216</v>
      </c>
      <c r="V4" s="36">
        <f>AVERAGE(H299,H331)</f>
        <v>1.7464</v>
      </c>
      <c r="W4" s="36">
        <f>AVERAGE(H431,H463)</f>
        <v>0.2484</v>
      </c>
      <c r="X4" s="36">
        <f>AVERAGE(H563,H595)</f>
        <v>0.2898</v>
      </c>
      <c r="Y4" s="38"/>
      <c r="AA4" s="38"/>
      <c r="AB4" s="38"/>
      <c r="AD4" s="38"/>
      <c r="AE4" s="38"/>
      <c r="AG4" s="38"/>
      <c r="AH4" s="38"/>
      <c r="AI4" s="19"/>
      <c r="AK4" s="19"/>
    </row>
    <row r="5">
      <c r="A5" s="20" t="s">
        <v>15</v>
      </c>
      <c r="B5" s="7" t="s">
        <v>20</v>
      </c>
      <c r="C5" s="7">
        <v>4.0</v>
      </c>
      <c r="D5" s="21">
        <v>0.88</v>
      </c>
      <c r="E5" s="33">
        <v>5.11</v>
      </c>
      <c r="F5" s="7">
        <v>0.011</v>
      </c>
      <c r="G5" s="23">
        <v>363.458725095</v>
      </c>
      <c r="H5" s="24">
        <f t="shared" si="1"/>
        <v>1.0494</v>
      </c>
      <c r="I5" s="25">
        <f t="shared" si="2"/>
        <v>0.4</v>
      </c>
      <c r="J5" s="24">
        <f t="shared" si="3"/>
        <v>0.3492263261</v>
      </c>
      <c r="K5" s="24">
        <f t="shared" si="4"/>
        <v>0.4214309366</v>
      </c>
      <c r="L5" s="24">
        <f t="shared" si="5"/>
        <v>0.9637330901</v>
      </c>
      <c r="M5" s="26"/>
      <c r="N5" s="34"/>
      <c r="O5" s="20" t="s">
        <v>16</v>
      </c>
      <c r="P5" s="19" t="s">
        <v>7</v>
      </c>
      <c r="Q5" s="28">
        <f>_xlfn.STDEV.P(H134,H166)</f>
        <v>0.0414</v>
      </c>
      <c r="R5" s="26"/>
      <c r="S5" s="35" t="s">
        <v>24</v>
      </c>
      <c r="T5" s="36">
        <f>AVERAGE(H68,H100)</f>
        <v>0.2907</v>
      </c>
      <c r="U5" s="36">
        <f>AVERAGE(H200,H232)</f>
        <v>0.6608</v>
      </c>
      <c r="V5" s="36">
        <f>AVERAGE(H332,H364)</f>
        <v>0.4896</v>
      </c>
      <c r="W5" s="36">
        <f>AVERAGE(H464,H496)</f>
        <v>0.477</v>
      </c>
      <c r="X5" s="36">
        <f>AVERAGE(H596,H628)</f>
        <v>0.2691</v>
      </c>
      <c r="Y5" s="38"/>
      <c r="AA5" s="38"/>
      <c r="AB5" s="38"/>
      <c r="AD5" s="38"/>
      <c r="AE5" s="38"/>
      <c r="AG5" s="38"/>
      <c r="AH5" s="38"/>
      <c r="AI5" s="19"/>
      <c r="AJ5" s="19"/>
      <c r="AK5" s="19"/>
    </row>
    <row r="6">
      <c r="A6" s="20" t="s">
        <v>15</v>
      </c>
      <c r="B6" s="7" t="s">
        <v>20</v>
      </c>
      <c r="C6" s="7">
        <v>5.0</v>
      </c>
      <c r="D6" s="21">
        <v>0.88</v>
      </c>
      <c r="E6" s="22">
        <v>6.41</v>
      </c>
      <c r="F6" s="7">
        <v>0.014</v>
      </c>
      <c r="G6" s="23">
        <v>454.981318749999</v>
      </c>
      <c r="H6" s="24">
        <f t="shared" si="1"/>
        <v>1.3356</v>
      </c>
      <c r="I6" s="25">
        <f t="shared" si="2"/>
        <v>1</v>
      </c>
      <c r="J6" s="24">
        <f t="shared" si="3"/>
        <v>0.8869001433</v>
      </c>
      <c r="K6" s="24">
        <f t="shared" si="4"/>
        <v>0.2109406804</v>
      </c>
      <c r="L6" s="24">
        <f t="shared" si="5"/>
        <v>0.9434500716</v>
      </c>
      <c r="M6" s="26"/>
      <c r="N6" s="34"/>
      <c r="O6" s="20"/>
      <c r="P6" s="19"/>
      <c r="R6" s="26"/>
      <c r="S6" s="35" t="s">
        <v>25</v>
      </c>
      <c r="T6" s="36">
        <f>AVERAGE(H101,H133)</f>
        <v>0.472</v>
      </c>
      <c r="U6" s="36">
        <f>AVERAGE(H233,H265)</f>
        <v>0.2277</v>
      </c>
      <c r="V6" s="36">
        <f>AVERAGE(H365,H397)</f>
        <v>0.8968</v>
      </c>
      <c r="W6" s="36">
        <f>AVERAGE(H497,H529)</f>
        <v>0.153</v>
      </c>
      <c r="X6" s="36">
        <f>AVERAGE(H629,H661)</f>
        <v>0.5724</v>
      </c>
      <c r="Y6" s="38"/>
      <c r="AA6" s="38"/>
      <c r="AB6" s="38"/>
      <c r="AD6" s="38"/>
      <c r="AE6" s="38"/>
      <c r="AG6" s="38"/>
      <c r="AH6" s="38"/>
      <c r="AI6" s="19"/>
      <c r="AJ6" s="19"/>
      <c r="AK6" s="19"/>
    </row>
    <row r="7">
      <c r="A7" s="20" t="s">
        <v>15</v>
      </c>
      <c r="B7" s="7" t="s">
        <v>20</v>
      </c>
      <c r="C7" s="7">
        <v>6.0</v>
      </c>
      <c r="D7" s="21">
        <v>0.88</v>
      </c>
      <c r="E7" s="33">
        <v>5.85</v>
      </c>
      <c r="F7" s="7">
        <v>0.012</v>
      </c>
      <c r="G7" s="23">
        <v>416.191309616</v>
      </c>
      <c r="H7" s="24">
        <f t="shared" si="1"/>
        <v>1.1448</v>
      </c>
      <c r="I7" s="25">
        <f t="shared" si="2"/>
        <v>0.6</v>
      </c>
      <c r="J7" s="24">
        <f t="shared" si="3"/>
        <v>0.6590179183</v>
      </c>
      <c r="K7" s="24">
        <f t="shared" si="4"/>
        <v>0.2998942896</v>
      </c>
      <c r="L7" s="24">
        <f t="shared" si="5"/>
        <v>1.036886199</v>
      </c>
      <c r="M7" s="6"/>
      <c r="N7" s="34"/>
      <c r="O7" s="20"/>
      <c r="P7" s="19"/>
      <c r="R7" s="6"/>
      <c r="S7" s="7" t="s">
        <v>26</v>
      </c>
      <c r="W7" s="39">
        <f>AVERAGE(H728,H760)</f>
        <v>0.4293</v>
      </c>
      <c r="X7" s="39">
        <f>AVERAGE(H662,H694)</f>
        <v>0.5724</v>
      </c>
    </row>
    <row r="8">
      <c r="A8" s="20" t="s">
        <v>15</v>
      </c>
      <c r="B8" s="7" t="s">
        <v>20</v>
      </c>
      <c r="C8" s="7">
        <v>7.0</v>
      </c>
      <c r="D8" s="21">
        <v>0.88</v>
      </c>
      <c r="E8" s="22">
        <v>4.92</v>
      </c>
      <c r="F8" s="7">
        <v>0.01</v>
      </c>
      <c r="G8" s="23">
        <v>348.447996179</v>
      </c>
      <c r="H8" s="24">
        <f t="shared" si="1"/>
        <v>0.954</v>
      </c>
      <c r="I8" s="25">
        <f t="shared" si="2"/>
        <v>0.2</v>
      </c>
      <c r="J8" s="24">
        <f t="shared" si="3"/>
        <v>0.2610418069</v>
      </c>
      <c r="K8" s="24">
        <f t="shared" si="4"/>
        <v>0.5260518166</v>
      </c>
      <c r="L8" s="24">
        <f t="shared" si="5"/>
        <v>1.050868172</v>
      </c>
      <c r="M8" s="26"/>
      <c r="N8" s="34"/>
      <c r="O8" s="20" t="s">
        <v>17</v>
      </c>
      <c r="P8" s="19" t="s">
        <v>7</v>
      </c>
      <c r="Q8" s="40">
        <f>_xlfn.STDEV.P(H266,H298)</f>
        <v>0.236</v>
      </c>
      <c r="R8" s="26"/>
      <c r="S8" s="7" t="s">
        <v>27</v>
      </c>
      <c r="W8" s="39">
        <f>AVERAGE(H761,H793)</f>
        <v>0.1884</v>
      </c>
      <c r="X8" s="39">
        <f>AVERAGE(H695,H727)</f>
        <v>0.3339</v>
      </c>
    </row>
    <row r="9">
      <c r="A9" s="20" t="s">
        <v>15</v>
      </c>
      <c r="B9" s="7" t="s">
        <v>20</v>
      </c>
      <c r="C9" s="7">
        <v>8.0</v>
      </c>
      <c r="D9" s="21">
        <v>0.88</v>
      </c>
      <c r="E9" s="33">
        <v>6.05</v>
      </c>
      <c r="F9" s="7">
        <v>0.013</v>
      </c>
      <c r="G9" s="23">
        <v>423.127141936</v>
      </c>
      <c r="H9" s="24">
        <f t="shared" si="1"/>
        <v>1.2402</v>
      </c>
      <c r="I9" s="25">
        <f t="shared" si="2"/>
        <v>0.8</v>
      </c>
      <c r="J9" s="24">
        <f t="shared" si="3"/>
        <v>0.6997643099</v>
      </c>
      <c r="K9" s="24">
        <f t="shared" si="4"/>
        <v>0.2601824773</v>
      </c>
      <c r="L9" s="24">
        <f t="shared" si="5"/>
        <v>0.9443135055</v>
      </c>
      <c r="M9" s="26"/>
      <c r="N9" s="34"/>
      <c r="O9" s="20"/>
      <c r="P9" s="19"/>
      <c r="R9" s="26"/>
      <c r="S9" s="26"/>
      <c r="T9" s="26"/>
      <c r="AB9" s="41"/>
    </row>
    <row r="10">
      <c r="A10" s="20" t="s">
        <v>15</v>
      </c>
      <c r="B10" s="7" t="s">
        <v>20</v>
      </c>
      <c r="C10" s="7">
        <v>9.0</v>
      </c>
      <c r="D10" s="21">
        <v>0.88</v>
      </c>
      <c r="E10" s="22">
        <v>4.61</v>
      </c>
      <c r="F10" s="7">
        <v>0.01</v>
      </c>
      <c r="G10" s="23">
        <v>326.329203887</v>
      </c>
      <c r="H10" s="24">
        <f t="shared" si="1"/>
        <v>0.954</v>
      </c>
      <c r="I10" s="25">
        <f t="shared" si="2"/>
        <v>0.2</v>
      </c>
      <c r="J10" s="24">
        <f t="shared" si="3"/>
        <v>0.131099079</v>
      </c>
      <c r="K10" s="24">
        <f t="shared" si="4"/>
        <v>0.58648561</v>
      </c>
      <c r="L10" s="24">
        <f t="shared" si="5"/>
        <v>0.9425825659</v>
      </c>
      <c r="M10" s="6"/>
      <c r="N10" s="34"/>
      <c r="O10" s="20"/>
      <c r="P10" s="19"/>
      <c r="R10" s="6"/>
      <c r="S10" s="6"/>
      <c r="T10" s="6"/>
      <c r="AB10" s="41"/>
    </row>
    <row r="11">
      <c r="A11" s="20" t="s">
        <v>15</v>
      </c>
      <c r="B11" s="7" t="s">
        <v>20</v>
      </c>
      <c r="C11" s="7">
        <v>10.0</v>
      </c>
      <c r="D11" s="21">
        <v>0.88</v>
      </c>
      <c r="E11" s="33">
        <v>4.39</v>
      </c>
      <c r="F11" s="7">
        <v>0.009</v>
      </c>
      <c r="G11" s="23">
        <v>318.112344911999</v>
      </c>
      <c r="H11" s="24">
        <f t="shared" si="1"/>
        <v>0.8586</v>
      </c>
      <c r="I11" s="25">
        <f t="shared" si="2"/>
        <v>0</v>
      </c>
      <c r="J11" s="24">
        <f t="shared" si="3"/>
        <v>0.08282695569</v>
      </c>
      <c r="K11" s="24">
        <f t="shared" si="4"/>
        <v>0.7351571697</v>
      </c>
      <c r="L11" s="24">
        <f t="shared" si="5"/>
        <v>1.082826956</v>
      </c>
      <c r="M11" s="26"/>
      <c r="N11" s="34"/>
      <c r="O11" s="20" t="s">
        <v>18</v>
      </c>
      <c r="P11" s="19" t="s">
        <v>7</v>
      </c>
      <c r="Q11" s="40">
        <f>_xlfn.STDEV.P(H398,H430)</f>
        <v>0.0477</v>
      </c>
      <c r="R11" s="26"/>
      <c r="T11" s="42" t="s">
        <v>28</v>
      </c>
      <c r="V11" s="43" t="s">
        <v>29</v>
      </c>
      <c r="X11" s="43" t="s">
        <v>30</v>
      </c>
      <c r="Z11" s="43" t="s">
        <v>31</v>
      </c>
      <c r="AB11" s="43" t="s">
        <v>32</v>
      </c>
    </row>
    <row r="12">
      <c r="A12" s="20" t="s">
        <v>15</v>
      </c>
      <c r="B12" s="7" t="s">
        <v>20</v>
      </c>
      <c r="C12" s="7">
        <v>11.0</v>
      </c>
      <c r="D12" s="21">
        <v>0.88</v>
      </c>
      <c r="E12" s="22">
        <v>5.01</v>
      </c>
      <c r="F12" s="7">
        <v>0.011</v>
      </c>
      <c r="G12" s="23">
        <v>360.225473802</v>
      </c>
      <c r="H12" s="24">
        <f t="shared" si="1"/>
        <v>1.0494</v>
      </c>
      <c r="I12" s="25">
        <f t="shared" si="2"/>
        <v>0.4</v>
      </c>
      <c r="J12" s="24">
        <f t="shared" si="3"/>
        <v>0.3302317315</v>
      </c>
      <c r="K12" s="24">
        <f t="shared" si="4"/>
        <v>0.4274486173</v>
      </c>
      <c r="L12" s="24">
        <f t="shared" si="5"/>
        <v>0.9501655225</v>
      </c>
      <c r="M12" s="26"/>
      <c r="N12" s="34"/>
      <c r="O12" s="20"/>
      <c r="P12" s="19"/>
      <c r="R12" s="26"/>
      <c r="S12" s="44" t="s">
        <v>1</v>
      </c>
      <c r="T12" s="45" t="s">
        <v>33</v>
      </c>
      <c r="U12" s="45" t="s">
        <v>10</v>
      </c>
      <c r="V12" s="45" t="s">
        <v>33</v>
      </c>
      <c r="W12" s="45" t="s">
        <v>10</v>
      </c>
      <c r="X12" s="45" t="s">
        <v>33</v>
      </c>
      <c r="Y12" s="45" t="s">
        <v>10</v>
      </c>
      <c r="Z12" s="45" t="s">
        <v>33</v>
      </c>
      <c r="AA12" s="45" t="s">
        <v>10</v>
      </c>
      <c r="AB12" s="45" t="s">
        <v>33</v>
      </c>
      <c r="AC12" s="45" t="s">
        <v>10</v>
      </c>
    </row>
    <row r="13">
      <c r="A13" s="20" t="s">
        <v>15</v>
      </c>
      <c r="B13" s="7" t="s">
        <v>20</v>
      </c>
      <c r="C13" s="7">
        <v>12.0</v>
      </c>
      <c r="D13" s="21">
        <v>0.88</v>
      </c>
      <c r="E13" s="33">
        <v>4.44</v>
      </c>
      <c r="F13" s="7">
        <v>0.009</v>
      </c>
      <c r="G13" s="23">
        <v>319.488838371999</v>
      </c>
      <c r="H13" s="24">
        <f t="shared" si="1"/>
        <v>0.8586</v>
      </c>
      <c r="I13" s="25">
        <f t="shared" si="2"/>
        <v>0</v>
      </c>
      <c r="J13" s="24">
        <f t="shared" si="3"/>
        <v>0.09091353261</v>
      </c>
      <c r="K13" s="24">
        <f t="shared" si="4"/>
        <v>0.7297076956</v>
      </c>
      <c r="L13" s="24">
        <f t="shared" si="5"/>
        <v>1.090913533</v>
      </c>
      <c r="M13" s="6"/>
      <c r="N13" s="34"/>
      <c r="O13" s="20"/>
      <c r="P13" s="19"/>
      <c r="R13" s="6"/>
      <c r="S13" s="46" t="s">
        <v>21</v>
      </c>
      <c r="T13" s="47" t="s">
        <v>34</v>
      </c>
      <c r="U13" s="48">
        <f>AVERAGE(K2,K34)</f>
        <v>0.5877047765</v>
      </c>
      <c r="V13" s="19" t="s">
        <v>35</v>
      </c>
      <c r="W13" s="48">
        <f>AVERAGE(K134,K166)</f>
        <v>0.6703147478</v>
      </c>
      <c r="X13" s="19" t="s">
        <v>36</v>
      </c>
      <c r="Y13" s="48">
        <f>AVERAGE(K266,K298)</f>
        <v>0.3995527626</v>
      </c>
      <c r="Z13" s="19" t="s">
        <v>34</v>
      </c>
      <c r="AA13" s="48">
        <f>AVERAGE(K398,K430)</f>
        <v>0.5739662723</v>
      </c>
      <c r="AB13" s="19" t="s">
        <v>34</v>
      </c>
      <c r="AC13" s="49">
        <f>AVERAGE(K530,K562)</f>
        <v>0.4733805182</v>
      </c>
    </row>
    <row r="14">
      <c r="A14" s="20" t="s">
        <v>15</v>
      </c>
      <c r="B14" s="7" t="s">
        <v>20</v>
      </c>
      <c r="C14" s="7">
        <v>13.0</v>
      </c>
      <c r="D14" s="21">
        <v>0.88</v>
      </c>
      <c r="E14" s="22">
        <v>4.85</v>
      </c>
      <c r="F14" s="7">
        <v>0.01</v>
      </c>
      <c r="G14" s="23">
        <v>344.010223462999</v>
      </c>
      <c r="H14" s="24">
        <f t="shared" si="1"/>
        <v>0.954</v>
      </c>
      <c r="I14" s="25">
        <f t="shared" si="2"/>
        <v>0.2</v>
      </c>
      <c r="J14" s="24">
        <f t="shared" si="3"/>
        <v>0.2349709309</v>
      </c>
      <c r="K14" s="24">
        <f t="shared" si="4"/>
        <v>0.5371570429</v>
      </c>
      <c r="L14" s="24">
        <f t="shared" si="5"/>
        <v>1.029142442</v>
      </c>
      <c r="N14" s="34"/>
      <c r="O14" s="20" t="s">
        <v>19</v>
      </c>
      <c r="P14" s="19" t="s">
        <v>7</v>
      </c>
      <c r="Q14" s="40">
        <f>_xlfn.STDEV.P(H530,H562)</f>
        <v>0</v>
      </c>
      <c r="R14" s="26"/>
      <c r="S14" s="46" t="s">
        <v>23</v>
      </c>
      <c r="T14" s="47" t="s">
        <v>36</v>
      </c>
      <c r="U14" s="48">
        <f>AVERAGE(K35,K67)</f>
        <v>0.4945981073</v>
      </c>
      <c r="V14" s="19" t="s">
        <v>36</v>
      </c>
      <c r="W14" s="48">
        <f>AVERAGE(K167,K199)</f>
        <v>0.4051816314</v>
      </c>
      <c r="X14" s="19" t="s">
        <v>36</v>
      </c>
      <c r="Y14" s="48">
        <f>AVERAGE(K299,K331)</f>
        <v>0.3858330269</v>
      </c>
      <c r="Z14" s="19" t="s">
        <v>35</v>
      </c>
      <c r="AA14" s="48">
        <f>AVERAGE(K431,K463)</f>
        <v>0.6938962241</v>
      </c>
      <c r="AB14" s="19" t="s">
        <v>35</v>
      </c>
      <c r="AC14" s="49">
        <f>AVERAGE(K563,K595)</f>
        <v>0.5831868564</v>
      </c>
    </row>
    <row r="15">
      <c r="A15" s="20" t="s">
        <v>15</v>
      </c>
      <c r="B15" s="7" t="s">
        <v>20</v>
      </c>
      <c r="C15" s="7">
        <v>14.0</v>
      </c>
      <c r="D15" s="21">
        <v>0.88</v>
      </c>
      <c r="E15" s="33">
        <v>6.73</v>
      </c>
      <c r="F15" s="7">
        <v>0.014</v>
      </c>
      <c r="G15" s="23">
        <v>466.420187546</v>
      </c>
      <c r="H15" s="24">
        <f t="shared" si="1"/>
        <v>1.3356</v>
      </c>
      <c r="I15" s="25">
        <f t="shared" si="2"/>
        <v>1</v>
      </c>
      <c r="J15" s="24">
        <f t="shared" si="3"/>
        <v>0.9541008202</v>
      </c>
      <c r="K15" s="24">
        <f t="shared" si="4"/>
        <v>0.2036865221</v>
      </c>
      <c r="L15" s="24">
        <f t="shared" si="5"/>
        <v>0.9770504101</v>
      </c>
      <c r="N15" s="34"/>
      <c r="O15" s="20"/>
      <c r="P15" s="19"/>
      <c r="S15" s="46" t="s">
        <v>24</v>
      </c>
      <c r="T15" s="47" t="s">
        <v>37</v>
      </c>
      <c r="U15" s="48">
        <f>AVERAGE(K68,K100)</f>
        <v>0.781689716</v>
      </c>
      <c r="V15" s="19" t="s">
        <v>36</v>
      </c>
      <c r="W15" s="48">
        <f>AVERAGE(K200,K232)</f>
        <v>0.4288503336</v>
      </c>
      <c r="X15" s="19" t="s">
        <v>37</v>
      </c>
      <c r="Y15" s="48">
        <f>AVERAGE(K332,K364)</f>
        <v>0.4884412038</v>
      </c>
      <c r="Z15" s="19" t="s">
        <v>34</v>
      </c>
      <c r="AA15" s="48">
        <f>AVERAGE(K464,K496)</f>
        <v>0.5826916759</v>
      </c>
      <c r="AB15" s="19" t="s">
        <v>35</v>
      </c>
      <c r="AC15" s="49">
        <f>AVERAGE(K596,K628)</f>
        <v>0.4360851736</v>
      </c>
    </row>
    <row r="16">
      <c r="A16" s="20" t="s">
        <v>15</v>
      </c>
      <c r="B16" s="7" t="s">
        <v>20</v>
      </c>
      <c r="C16" s="7">
        <v>15.0</v>
      </c>
      <c r="D16" s="21">
        <v>0.88</v>
      </c>
      <c r="E16" s="22">
        <v>5.39</v>
      </c>
      <c r="F16" s="7">
        <v>0.011</v>
      </c>
      <c r="G16" s="23">
        <v>373.58398493</v>
      </c>
      <c r="H16" s="24">
        <f t="shared" si="1"/>
        <v>1.0494</v>
      </c>
      <c r="I16" s="25">
        <f t="shared" si="2"/>
        <v>0.4</v>
      </c>
      <c r="J16" s="24">
        <f t="shared" si="3"/>
        <v>0.4087098579</v>
      </c>
      <c r="K16" s="24">
        <f t="shared" si="4"/>
        <v>0.4036357885</v>
      </c>
      <c r="L16" s="24">
        <f t="shared" si="5"/>
        <v>1.006221327</v>
      </c>
      <c r="N16" s="50"/>
      <c r="O16" s="20"/>
      <c r="P16" s="19"/>
      <c r="S16" s="46" t="s">
        <v>25</v>
      </c>
      <c r="T16" s="47" t="s">
        <v>36</v>
      </c>
      <c r="U16" s="48">
        <f>AVERAGE(K101,K133)</f>
        <v>0.9096188727</v>
      </c>
      <c r="V16" s="19" t="s">
        <v>35</v>
      </c>
      <c r="W16" s="48">
        <f>AVERAGE(K233,K265)</f>
        <v>0.7948030984</v>
      </c>
      <c r="X16" s="19" t="s">
        <v>36</v>
      </c>
      <c r="Y16" s="48">
        <f>AVERAGE(K365,K397)</f>
        <v>0.8165534439</v>
      </c>
      <c r="Z16" s="19" t="s">
        <v>37</v>
      </c>
      <c r="AA16" s="48">
        <f>AVERAGE(K497,K529)</f>
        <v>0.7618438303</v>
      </c>
      <c r="AB16" s="19" t="s">
        <v>34</v>
      </c>
      <c r="AC16" s="49">
        <f>AVERAGE(K629,K661)</f>
        <v>0.6460595731</v>
      </c>
    </row>
    <row r="17">
      <c r="A17" s="20" t="s">
        <v>15</v>
      </c>
      <c r="B17" s="7" t="s">
        <v>20</v>
      </c>
      <c r="C17" s="7">
        <v>16.0</v>
      </c>
      <c r="D17" s="21">
        <v>0.88</v>
      </c>
      <c r="E17" s="33">
        <v>5.24</v>
      </c>
      <c r="F17" s="7">
        <v>0.011</v>
      </c>
      <c r="G17" s="23">
        <v>365.666431282</v>
      </c>
      <c r="H17" s="24">
        <f t="shared" si="1"/>
        <v>1.0494</v>
      </c>
      <c r="I17" s="25">
        <f t="shared" si="2"/>
        <v>0.4</v>
      </c>
      <c r="J17" s="24">
        <f t="shared" si="3"/>
        <v>0.3621960832</v>
      </c>
      <c r="K17" s="24">
        <f t="shared" si="4"/>
        <v>0.4174184035</v>
      </c>
      <c r="L17" s="24">
        <f t="shared" si="5"/>
        <v>0.9729972023</v>
      </c>
      <c r="M17" s="51"/>
      <c r="N17" s="27" t="s">
        <v>23</v>
      </c>
      <c r="O17" s="20" t="s">
        <v>15</v>
      </c>
      <c r="P17" s="19" t="s">
        <v>7</v>
      </c>
      <c r="Q17" s="28">
        <f>_xlfn.STDEV.P(H35,H67)</f>
        <v>0.0472</v>
      </c>
      <c r="R17" s="52"/>
      <c r="S17" s="46" t="s">
        <v>26</v>
      </c>
      <c r="Z17" s="19" t="s">
        <v>34</v>
      </c>
      <c r="AA17" s="48">
        <f>AVERAGE(K728,K760)</f>
        <v>0.5069009971</v>
      </c>
      <c r="AB17" s="19" t="s">
        <v>34</v>
      </c>
      <c r="AC17" s="49">
        <f>AVERAGE(K662,K694)</f>
        <v>0.4936610209</v>
      </c>
      <c r="AD17" s="53"/>
    </row>
    <row r="18">
      <c r="A18" s="20" t="s">
        <v>15</v>
      </c>
      <c r="B18" s="7" t="s">
        <v>20</v>
      </c>
      <c r="C18" s="7">
        <v>17.0</v>
      </c>
      <c r="D18" s="21">
        <v>0.88</v>
      </c>
      <c r="E18" s="22">
        <v>5.65</v>
      </c>
      <c r="F18" s="7">
        <v>0.012</v>
      </c>
      <c r="G18" s="23">
        <v>397.344512705999</v>
      </c>
      <c r="H18" s="24">
        <f t="shared" si="1"/>
        <v>1.1448</v>
      </c>
      <c r="I18" s="25">
        <f t="shared" si="2"/>
        <v>0.6</v>
      </c>
      <c r="J18" s="24">
        <f t="shared" si="3"/>
        <v>0.5482973975</v>
      </c>
      <c r="K18" s="24">
        <f t="shared" si="4"/>
        <v>0.3213400738</v>
      </c>
      <c r="L18" s="24">
        <f t="shared" si="5"/>
        <v>0.9676858734</v>
      </c>
      <c r="M18" s="20"/>
      <c r="N18" s="34"/>
      <c r="O18" s="20"/>
      <c r="P18" s="19"/>
      <c r="R18" s="38"/>
      <c r="S18" s="46" t="s">
        <v>27</v>
      </c>
      <c r="Z18" s="54" t="s">
        <v>38</v>
      </c>
      <c r="AA18" s="48">
        <f>AVERAGE(K761,K793)</f>
        <v>0.6169240558</v>
      </c>
      <c r="AB18" s="19" t="s">
        <v>34</v>
      </c>
      <c r="AC18" s="49">
        <f>AVERAGE(K695,K727)</f>
        <v>0.6936818442</v>
      </c>
      <c r="AD18" s="6"/>
      <c r="AE18" s="26"/>
      <c r="AF18" s="55"/>
      <c r="AG18" s="55"/>
      <c r="AH18" s="55"/>
      <c r="AI18" s="55"/>
      <c r="AJ18" s="55"/>
    </row>
    <row r="19">
      <c r="A19" s="20" t="s">
        <v>15</v>
      </c>
      <c r="B19" s="7" t="s">
        <v>20</v>
      </c>
      <c r="C19" s="7">
        <v>18.0</v>
      </c>
      <c r="D19" s="21">
        <v>0.88</v>
      </c>
      <c r="E19" s="33">
        <v>5.3</v>
      </c>
      <c r="F19" s="7">
        <v>0.011</v>
      </c>
      <c r="G19" s="23">
        <v>373.490247392999</v>
      </c>
      <c r="H19" s="24">
        <f t="shared" si="1"/>
        <v>1.0494</v>
      </c>
      <c r="I19" s="25">
        <f t="shared" si="2"/>
        <v>0.4</v>
      </c>
      <c r="J19" s="24">
        <f t="shared" si="3"/>
        <v>0.4081591718</v>
      </c>
      <c r="K19" s="24">
        <f t="shared" si="4"/>
        <v>0.4037936376</v>
      </c>
      <c r="L19" s="24">
        <f t="shared" si="5"/>
        <v>1.00582798</v>
      </c>
      <c r="M19" s="20"/>
      <c r="N19" s="34"/>
      <c r="O19" s="20"/>
      <c r="P19" s="19"/>
      <c r="R19" s="38"/>
      <c r="AD19" s="26"/>
      <c r="AE19" s="26"/>
      <c r="AF19" s="26"/>
      <c r="AG19" s="26"/>
      <c r="AH19" s="26"/>
      <c r="AI19" s="26"/>
      <c r="AJ19" s="26"/>
    </row>
    <row r="20">
      <c r="A20" s="20" t="s">
        <v>15</v>
      </c>
      <c r="B20" s="7" t="s">
        <v>20</v>
      </c>
      <c r="C20" s="7">
        <v>19.0</v>
      </c>
      <c r="D20" s="21">
        <v>0.88</v>
      </c>
      <c r="E20" s="22">
        <v>6.6</v>
      </c>
      <c r="F20" s="7">
        <v>0.014</v>
      </c>
      <c r="G20" s="23">
        <v>458.886751768001</v>
      </c>
      <c r="H20" s="24">
        <f t="shared" si="1"/>
        <v>1.3356</v>
      </c>
      <c r="I20" s="25">
        <f t="shared" si="2"/>
        <v>1</v>
      </c>
      <c r="J20" s="24">
        <f t="shared" si="3"/>
        <v>0.9098436482</v>
      </c>
      <c r="K20" s="24">
        <f t="shared" si="4"/>
        <v>0.2084065889</v>
      </c>
      <c r="L20" s="24">
        <f t="shared" si="5"/>
        <v>0.9549218241</v>
      </c>
      <c r="M20" s="20"/>
      <c r="N20" s="34"/>
      <c r="O20" s="20" t="s">
        <v>16</v>
      </c>
      <c r="P20" s="19" t="s">
        <v>7</v>
      </c>
      <c r="Q20" s="40">
        <f>_xlfn.STDEV.P(H167,H199)</f>
        <v>0.3776</v>
      </c>
      <c r="R20" s="38"/>
      <c r="S20" s="38"/>
      <c r="T20" s="38"/>
      <c r="AB20" s="41"/>
      <c r="AD20" s="26"/>
      <c r="AE20" s="26"/>
      <c r="AF20" s="26"/>
      <c r="AG20" s="26"/>
      <c r="AH20" s="26"/>
      <c r="AI20" s="26"/>
      <c r="AJ20" s="26"/>
    </row>
    <row r="21">
      <c r="A21" s="20" t="s">
        <v>15</v>
      </c>
      <c r="B21" s="7" t="s">
        <v>20</v>
      </c>
      <c r="C21" s="7">
        <v>20.0</v>
      </c>
      <c r="D21" s="21">
        <v>0.88</v>
      </c>
      <c r="E21" s="33">
        <v>5.38</v>
      </c>
      <c r="F21" s="7">
        <v>0.011</v>
      </c>
      <c r="G21" s="23">
        <v>376.989368071999</v>
      </c>
      <c r="H21" s="24">
        <f t="shared" si="1"/>
        <v>1.0494</v>
      </c>
      <c r="I21" s="25">
        <f t="shared" si="2"/>
        <v>0.4</v>
      </c>
      <c r="J21" s="24">
        <f t="shared" si="3"/>
        <v>0.4287156868</v>
      </c>
      <c r="K21" s="24">
        <f t="shared" si="4"/>
        <v>0.3979838113</v>
      </c>
      <c r="L21" s="24">
        <f t="shared" si="5"/>
        <v>1.020511205</v>
      </c>
      <c r="M21" s="20"/>
      <c r="N21" s="34"/>
      <c r="O21" s="20"/>
      <c r="P21" s="19"/>
      <c r="R21" s="38"/>
      <c r="S21" s="38"/>
      <c r="T21" s="38"/>
      <c r="AB21" s="41"/>
      <c r="AD21" s="26"/>
      <c r="AE21" s="26"/>
      <c r="AF21" s="26"/>
      <c r="AG21" s="26"/>
      <c r="AH21" s="26"/>
      <c r="AI21" s="26"/>
      <c r="AJ21" s="26"/>
    </row>
    <row r="22">
      <c r="A22" s="20" t="s">
        <v>15</v>
      </c>
      <c r="B22" s="7" t="s">
        <v>20</v>
      </c>
      <c r="C22" s="7">
        <v>21.0</v>
      </c>
      <c r="D22" s="21">
        <v>0.88</v>
      </c>
      <c r="E22" s="22">
        <v>5.08</v>
      </c>
      <c r="F22" s="7">
        <v>0.011</v>
      </c>
      <c r="G22" s="23">
        <v>357.995124278999</v>
      </c>
      <c r="H22" s="24">
        <f t="shared" si="1"/>
        <v>1.0494</v>
      </c>
      <c r="I22" s="25">
        <f t="shared" si="2"/>
        <v>0.4</v>
      </c>
      <c r="J22" s="24">
        <f t="shared" si="3"/>
        <v>0.31712895</v>
      </c>
      <c r="K22" s="24">
        <f t="shared" si="4"/>
        <v>0.4317008705</v>
      </c>
      <c r="L22" s="24">
        <f t="shared" si="5"/>
        <v>0.9408063929</v>
      </c>
      <c r="M22" s="20"/>
      <c r="N22" s="34"/>
      <c r="O22" s="20"/>
      <c r="P22" s="19"/>
      <c r="R22" s="38"/>
      <c r="S22" s="38"/>
      <c r="T22" s="38"/>
      <c r="AB22" s="41"/>
      <c r="AD22" s="26"/>
      <c r="AE22" s="26"/>
      <c r="AF22" s="26"/>
      <c r="AG22" s="26"/>
      <c r="AH22" s="26"/>
      <c r="AI22" s="26"/>
      <c r="AJ22" s="26"/>
    </row>
    <row r="23">
      <c r="A23" s="20" t="s">
        <v>15</v>
      </c>
      <c r="B23" s="7" t="s">
        <v>20</v>
      </c>
      <c r="C23" s="7">
        <v>22.0</v>
      </c>
      <c r="D23" s="21">
        <v>0.88</v>
      </c>
      <c r="E23" s="33">
        <v>5.31</v>
      </c>
      <c r="F23" s="7">
        <v>0.011</v>
      </c>
      <c r="G23" s="23">
        <v>365.406945594</v>
      </c>
      <c r="H23" s="24">
        <f t="shared" si="1"/>
        <v>1.0494</v>
      </c>
      <c r="I23" s="25">
        <f t="shared" si="2"/>
        <v>0.4</v>
      </c>
      <c r="J23" s="24">
        <f t="shared" si="3"/>
        <v>0.3606716656</v>
      </c>
      <c r="K23" s="24">
        <f t="shared" si="4"/>
        <v>0.4178860549</v>
      </c>
      <c r="L23" s="24">
        <f t="shared" si="5"/>
        <v>0.9719083325</v>
      </c>
      <c r="M23" s="20"/>
      <c r="N23" s="34"/>
      <c r="O23" s="20" t="s">
        <v>17</v>
      </c>
      <c r="P23" s="19" t="s">
        <v>7</v>
      </c>
      <c r="Q23" s="40">
        <f>_xlfn.STDEV.P(H299,H331)</f>
        <v>0.236</v>
      </c>
      <c r="R23" s="38"/>
      <c r="S23" s="38"/>
      <c r="T23" s="38"/>
      <c r="AB23" s="41"/>
      <c r="AD23" s="26"/>
      <c r="AE23" s="26"/>
      <c r="AF23" s="26"/>
      <c r="AG23" s="26"/>
      <c r="AH23" s="26"/>
      <c r="AI23" s="26"/>
      <c r="AJ23" s="26"/>
    </row>
    <row r="24">
      <c r="A24" s="20" t="s">
        <v>15</v>
      </c>
      <c r="B24" s="7" t="s">
        <v>20</v>
      </c>
      <c r="C24" s="7">
        <v>23.0</v>
      </c>
      <c r="D24" s="21">
        <v>0.88</v>
      </c>
      <c r="E24" s="22">
        <v>5.49</v>
      </c>
      <c r="F24" s="7">
        <v>0.012</v>
      </c>
      <c r="G24" s="23">
        <v>381.751582131</v>
      </c>
      <c r="H24" s="24">
        <f t="shared" si="1"/>
        <v>1.1448</v>
      </c>
      <c r="I24" s="25">
        <f t="shared" si="2"/>
        <v>0.6</v>
      </c>
      <c r="J24" s="24">
        <f t="shared" si="3"/>
        <v>0.4566925798</v>
      </c>
      <c r="K24" s="24">
        <f t="shared" si="4"/>
        <v>0.3415476998</v>
      </c>
      <c r="L24" s="24">
        <f t="shared" si="5"/>
        <v>0.9104328624</v>
      </c>
      <c r="M24" s="20"/>
      <c r="N24" s="34"/>
      <c r="O24" s="20"/>
      <c r="P24" s="19"/>
      <c r="R24" s="38"/>
      <c r="S24" s="38"/>
      <c r="T24" s="38"/>
      <c r="AB24" s="41"/>
      <c r="AD24" s="26"/>
      <c r="AE24" s="26"/>
      <c r="AF24" s="26"/>
      <c r="AG24" s="26"/>
      <c r="AH24" s="26"/>
      <c r="AI24" s="26"/>
      <c r="AJ24" s="26"/>
    </row>
    <row r="25">
      <c r="A25" s="20" t="s">
        <v>15</v>
      </c>
      <c r="B25" s="7" t="s">
        <v>20</v>
      </c>
      <c r="C25" s="7">
        <v>24.0</v>
      </c>
      <c r="D25" s="21">
        <v>0.88</v>
      </c>
      <c r="E25" s="33">
        <v>5.99</v>
      </c>
      <c r="F25" s="7">
        <v>0.013</v>
      </c>
      <c r="G25" s="23">
        <v>411.098955445999</v>
      </c>
      <c r="H25" s="24">
        <f t="shared" si="1"/>
        <v>1.2402</v>
      </c>
      <c r="I25" s="25">
        <f t="shared" si="2"/>
        <v>0.8</v>
      </c>
      <c r="J25" s="24">
        <f t="shared" si="3"/>
        <v>0.6291015294</v>
      </c>
      <c r="K25" s="24">
        <f t="shared" si="4"/>
        <v>0.2714679723</v>
      </c>
      <c r="L25" s="24">
        <f t="shared" si="5"/>
        <v>0.9050564052</v>
      </c>
      <c r="M25" s="20"/>
      <c r="N25" s="34"/>
      <c r="O25" s="20"/>
      <c r="P25" s="19"/>
      <c r="R25" s="38"/>
      <c r="S25" s="38"/>
      <c r="T25" s="38"/>
      <c r="AB25" s="41"/>
      <c r="AD25" s="26"/>
      <c r="AE25" s="26"/>
      <c r="AF25" s="26"/>
      <c r="AG25" s="26"/>
      <c r="AH25" s="26"/>
      <c r="AI25" s="26"/>
      <c r="AJ25" s="26"/>
    </row>
    <row r="26">
      <c r="A26" s="20" t="s">
        <v>15</v>
      </c>
      <c r="B26" s="7" t="s">
        <v>20</v>
      </c>
      <c r="C26" s="7">
        <v>25.0</v>
      </c>
      <c r="D26" s="21">
        <v>0.88</v>
      </c>
      <c r="E26" s="22">
        <v>6.4</v>
      </c>
      <c r="F26" s="7">
        <v>0.014</v>
      </c>
      <c r="G26" s="23">
        <v>442.763601492999</v>
      </c>
      <c r="H26" s="24">
        <f t="shared" si="1"/>
        <v>1.3356</v>
      </c>
      <c r="I26" s="25">
        <f t="shared" si="2"/>
        <v>1</v>
      </c>
      <c r="J26" s="24">
        <f t="shared" si="3"/>
        <v>0.8151239139</v>
      </c>
      <c r="K26" s="24">
        <f t="shared" si="4"/>
        <v>0.2192819988</v>
      </c>
      <c r="L26" s="24">
        <f t="shared" si="5"/>
        <v>0.907561957</v>
      </c>
      <c r="N26" s="34"/>
      <c r="O26" s="20" t="s">
        <v>18</v>
      </c>
      <c r="P26" s="19" t="s">
        <v>7</v>
      </c>
      <c r="Q26" s="40">
        <f>_xlfn.STDEV.P(H431,H463)</f>
        <v>0.0414</v>
      </c>
      <c r="R26" s="38"/>
      <c r="S26" s="38"/>
      <c r="T26" s="38"/>
      <c r="AB26" s="41"/>
      <c r="AD26" s="26"/>
      <c r="AE26" s="26"/>
      <c r="AF26" s="26"/>
      <c r="AG26" s="26"/>
      <c r="AH26" s="26"/>
      <c r="AI26" s="26"/>
      <c r="AJ26" s="26"/>
    </row>
    <row r="27">
      <c r="A27" s="20" t="s">
        <v>15</v>
      </c>
      <c r="B27" s="7" t="s">
        <v>20</v>
      </c>
      <c r="C27" s="7">
        <v>26.0</v>
      </c>
      <c r="D27" s="21">
        <v>0.88</v>
      </c>
      <c r="E27" s="33">
        <v>5.44</v>
      </c>
      <c r="F27" s="7">
        <v>0.012</v>
      </c>
      <c r="G27" s="23">
        <v>371.689630741</v>
      </c>
      <c r="H27" s="24">
        <f t="shared" si="1"/>
        <v>1.1448</v>
      </c>
      <c r="I27" s="25">
        <f t="shared" si="2"/>
        <v>0.6</v>
      </c>
      <c r="J27" s="24">
        <f t="shared" si="3"/>
        <v>0.3975809704</v>
      </c>
      <c r="K27" s="24">
        <f t="shared" si="4"/>
        <v>0.3559936852</v>
      </c>
      <c r="L27" s="24">
        <f t="shared" si="5"/>
        <v>0.8734881065</v>
      </c>
      <c r="N27" s="34"/>
      <c r="O27" s="20"/>
      <c r="P27" s="19"/>
      <c r="R27" s="38"/>
      <c r="S27" s="38"/>
      <c r="T27" s="38"/>
      <c r="AB27" s="41"/>
      <c r="AD27" s="26"/>
      <c r="AE27" s="26"/>
      <c r="AF27" s="26"/>
      <c r="AG27" s="26"/>
      <c r="AH27" s="26"/>
      <c r="AI27" s="26"/>
      <c r="AJ27" s="26"/>
    </row>
    <row r="28">
      <c r="A28" s="20" t="s">
        <v>15</v>
      </c>
      <c r="B28" s="7" t="s">
        <v>20</v>
      </c>
      <c r="C28" s="7">
        <v>27.0</v>
      </c>
      <c r="D28" s="21">
        <v>0.88</v>
      </c>
      <c r="E28" s="22">
        <v>4.53</v>
      </c>
      <c r="F28" s="7">
        <v>0.01</v>
      </c>
      <c r="G28" s="23">
        <v>315.835502029998</v>
      </c>
      <c r="H28" s="24">
        <f t="shared" si="1"/>
        <v>0.954</v>
      </c>
      <c r="I28" s="25">
        <f t="shared" si="2"/>
        <v>0.2</v>
      </c>
      <c r="J28" s="24">
        <f t="shared" si="3"/>
        <v>0.06945103665</v>
      </c>
      <c r="K28" s="24">
        <f t="shared" si="4"/>
        <v>0.6202933193</v>
      </c>
      <c r="L28" s="24">
        <f t="shared" si="5"/>
        <v>0.8912091972</v>
      </c>
      <c r="N28" s="34"/>
      <c r="O28" s="20"/>
      <c r="P28" s="19"/>
      <c r="R28" s="38"/>
      <c r="S28" s="38"/>
      <c r="T28" s="38"/>
      <c r="AB28" s="41"/>
      <c r="AD28" s="26"/>
      <c r="AE28" s="26"/>
      <c r="AF28" s="26"/>
      <c r="AG28" s="26"/>
      <c r="AH28" s="26"/>
      <c r="AI28" s="26"/>
      <c r="AJ28" s="26"/>
    </row>
    <row r="29">
      <c r="A29" s="20" t="s">
        <v>15</v>
      </c>
      <c r="B29" s="7" t="s">
        <v>20</v>
      </c>
      <c r="C29" s="7">
        <v>28.0</v>
      </c>
      <c r="D29" s="21">
        <v>0.88</v>
      </c>
      <c r="E29" s="33">
        <v>6.06</v>
      </c>
      <c r="F29" s="7">
        <v>0.013</v>
      </c>
      <c r="G29" s="23">
        <v>424.81159074</v>
      </c>
      <c r="H29" s="24">
        <f t="shared" si="1"/>
        <v>1.2402</v>
      </c>
      <c r="I29" s="25">
        <f t="shared" si="2"/>
        <v>0.8</v>
      </c>
      <c r="J29" s="24">
        <f t="shared" si="3"/>
        <v>0.7096600523</v>
      </c>
      <c r="K29" s="24">
        <f t="shared" si="4"/>
        <v>0.2586765061</v>
      </c>
      <c r="L29" s="24">
        <f t="shared" si="5"/>
        <v>0.9498111402</v>
      </c>
      <c r="N29" s="34"/>
      <c r="O29" s="20" t="s">
        <v>19</v>
      </c>
      <c r="P29" s="19" t="s">
        <v>7</v>
      </c>
      <c r="Q29" s="56">
        <f>_xlfn.STDEV.P(H563,H595)</f>
        <v>0.0414</v>
      </c>
      <c r="R29" s="38"/>
      <c r="S29" s="38"/>
      <c r="T29" s="38"/>
      <c r="AB29" s="41"/>
      <c r="AD29" s="26"/>
      <c r="AE29" s="26"/>
      <c r="AF29" s="26"/>
      <c r="AG29" s="26"/>
      <c r="AH29" s="26"/>
      <c r="AI29" s="26"/>
      <c r="AJ29" s="26"/>
    </row>
    <row r="30">
      <c r="A30" s="20" t="s">
        <v>15</v>
      </c>
      <c r="B30" s="7" t="s">
        <v>20</v>
      </c>
      <c r="C30" s="7">
        <v>29.0</v>
      </c>
      <c r="D30" s="21">
        <v>0.88</v>
      </c>
      <c r="E30" s="22">
        <v>5.72</v>
      </c>
      <c r="F30" s="7">
        <v>0.012</v>
      </c>
      <c r="G30" s="23">
        <v>393.963928713999</v>
      </c>
      <c r="H30" s="24">
        <f t="shared" si="1"/>
        <v>1.1448</v>
      </c>
      <c r="I30" s="25">
        <f t="shared" si="2"/>
        <v>0.6</v>
      </c>
      <c r="J30" s="24">
        <f t="shared" si="3"/>
        <v>0.5284372577</v>
      </c>
      <c r="K30" s="24">
        <f t="shared" si="4"/>
        <v>0.3255154881</v>
      </c>
      <c r="L30" s="24">
        <f t="shared" si="5"/>
        <v>0.9552732861</v>
      </c>
      <c r="M30" s="20"/>
      <c r="N30" s="34"/>
      <c r="O30" s="20"/>
      <c r="P30" s="19"/>
      <c r="R30" s="38"/>
      <c r="S30" s="38"/>
      <c r="T30" s="38"/>
      <c r="AB30" s="41"/>
      <c r="AD30" s="26"/>
      <c r="AE30" s="26"/>
      <c r="AF30" s="26"/>
      <c r="AG30" s="26"/>
      <c r="AH30" s="26"/>
      <c r="AI30" s="26"/>
      <c r="AJ30" s="26"/>
    </row>
    <row r="31">
      <c r="A31" s="20" t="s">
        <v>15</v>
      </c>
      <c r="B31" s="7" t="s">
        <v>20</v>
      </c>
      <c r="C31" s="7">
        <v>30.0</v>
      </c>
      <c r="D31" s="21">
        <v>0.88</v>
      </c>
      <c r="E31" s="33">
        <v>5.49</v>
      </c>
      <c r="F31" s="7">
        <v>0.012</v>
      </c>
      <c r="G31" s="23">
        <v>381.013095016</v>
      </c>
      <c r="H31" s="24">
        <f t="shared" si="1"/>
        <v>1.1448</v>
      </c>
      <c r="I31" s="25">
        <f t="shared" si="2"/>
        <v>0.6</v>
      </c>
      <c r="J31" s="24">
        <f t="shared" si="3"/>
        <v>0.4523541409</v>
      </c>
      <c r="K31" s="24">
        <f t="shared" si="4"/>
        <v>0.3425679633</v>
      </c>
      <c r="L31" s="24">
        <f t="shared" si="5"/>
        <v>0.907721338</v>
      </c>
      <c r="M31" s="20"/>
      <c r="N31" s="50"/>
      <c r="O31" s="20"/>
      <c r="P31" s="19"/>
      <c r="R31" s="38"/>
      <c r="S31" s="38"/>
      <c r="T31" s="38"/>
      <c r="AB31" s="41"/>
      <c r="AD31" s="26"/>
      <c r="AE31" s="26"/>
      <c r="AF31" s="26"/>
      <c r="AG31" s="26"/>
      <c r="AH31" s="26"/>
      <c r="AI31" s="26"/>
      <c r="AJ31" s="26"/>
    </row>
    <row r="32">
      <c r="A32" s="20" t="s">
        <v>15</v>
      </c>
      <c r="B32" s="7" t="s">
        <v>20</v>
      </c>
      <c r="C32" s="7">
        <v>31.0</v>
      </c>
      <c r="D32" s="21">
        <v>0.88</v>
      </c>
      <c r="E32" s="22">
        <v>4.86</v>
      </c>
      <c r="F32" s="7">
        <v>0.01</v>
      </c>
      <c r="G32" s="23">
        <v>339.292261205</v>
      </c>
      <c r="H32" s="24">
        <f t="shared" si="1"/>
        <v>0.954</v>
      </c>
      <c r="I32" s="25">
        <f t="shared" si="2"/>
        <v>0.2</v>
      </c>
      <c r="J32" s="24">
        <f t="shared" si="3"/>
        <v>0.2072540068</v>
      </c>
      <c r="K32" s="24">
        <f t="shared" si="4"/>
        <v>0.5494894443</v>
      </c>
      <c r="L32" s="24">
        <f t="shared" si="5"/>
        <v>1.006045006</v>
      </c>
      <c r="M32" s="20"/>
      <c r="N32" s="27" t="s">
        <v>24</v>
      </c>
      <c r="O32" s="20" t="s">
        <v>15</v>
      </c>
      <c r="P32" s="19" t="s">
        <v>7</v>
      </c>
      <c r="Q32" s="28">
        <f>_xlfn.STDEV.P(H68,H100)</f>
        <v>0.0153</v>
      </c>
      <c r="R32" s="38"/>
      <c r="S32" s="38"/>
      <c r="T32" s="38"/>
      <c r="AB32" s="41"/>
      <c r="AD32" s="26"/>
      <c r="AE32" s="26"/>
      <c r="AF32" s="26"/>
      <c r="AG32" s="26"/>
      <c r="AH32" s="26"/>
      <c r="AI32" s="26"/>
      <c r="AJ32" s="26"/>
    </row>
    <row r="33">
      <c r="A33" s="20" t="s">
        <v>15</v>
      </c>
      <c r="B33" s="7" t="s">
        <v>20</v>
      </c>
      <c r="C33" s="7">
        <v>32.0</v>
      </c>
      <c r="D33" s="21">
        <v>0.88</v>
      </c>
      <c r="E33" s="33">
        <v>6.82</v>
      </c>
      <c r="F33" s="7">
        <v>0.014</v>
      </c>
      <c r="G33" s="23">
        <v>474.233125138998</v>
      </c>
      <c r="H33" s="24">
        <f t="shared" si="1"/>
        <v>1.3356</v>
      </c>
      <c r="I33" s="25">
        <f t="shared" si="2"/>
        <v>1</v>
      </c>
      <c r="J33" s="24">
        <f t="shared" si="3"/>
        <v>1</v>
      </c>
      <c r="K33" s="24">
        <f t="shared" si="4"/>
        <v>0.199012</v>
      </c>
      <c r="L33" s="24">
        <f t="shared" si="5"/>
        <v>1</v>
      </c>
      <c r="M33" s="20"/>
      <c r="N33" s="34"/>
      <c r="O33" s="20"/>
      <c r="P33" s="19"/>
      <c r="R33" s="38"/>
      <c r="S33" s="38"/>
      <c r="T33" s="38"/>
      <c r="AB33" s="41"/>
      <c r="AD33" s="26"/>
      <c r="AE33" s="26"/>
      <c r="AF33" s="26"/>
      <c r="AG33" s="26"/>
      <c r="AH33" s="26"/>
      <c r="AI33" s="26"/>
      <c r="AJ33" s="26"/>
    </row>
    <row r="34">
      <c r="A34" s="20" t="s">
        <v>15</v>
      </c>
      <c r="B34" s="7" t="s">
        <v>20</v>
      </c>
      <c r="C34" s="7">
        <v>33.0</v>
      </c>
      <c r="D34" s="21">
        <v>0.88</v>
      </c>
      <c r="E34" s="22">
        <v>4.33</v>
      </c>
      <c r="F34" s="7">
        <v>0.009</v>
      </c>
      <c r="G34" s="23">
        <v>304.013578025</v>
      </c>
      <c r="H34" s="24">
        <f t="shared" si="1"/>
        <v>0.8586</v>
      </c>
      <c r="I34" s="25">
        <f t="shared" si="2"/>
        <v>0</v>
      </c>
      <c r="J34" s="24">
        <f t="shared" si="3"/>
        <v>0</v>
      </c>
      <c r="K34" s="24">
        <f t="shared" si="4"/>
        <v>0.796048</v>
      </c>
      <c r="L34" s="24">
        <f t="shared" si="5"/>
        <v>1</v>
      </c>
      <c r="M34" s="20"/>
      <c r="N34" s="34"/>
      <c r="O34" s="20"/>
      <c r="P34" s="19"/>
      <c r="R34" s="38"/>
      <c r="S34" s="38"/>
      <c r="T34" s="38"/>
      <c r="AB34" s="41"/>
      <c r="AD34" s="26"/>
      <c r="AE34" s="26"/>
      <c r="AF34" s="26"/>
      <c r="AG34" s="26"/>
      <c r="AH34" s="26"/>
      <c r="AI34" s="26"/>
      <c r="AJ34" s="26"/>
    </row>
    <row r="35">
      <c r="A35" s="57" t="s">
        <v>15</v>
      </c>
      <c r="B35" s="58" t="s">
        <v>39</v>
      </c>
      <c r="C35" s="7">
        <v>1.0</v>
      </c>
      <c r="D35" s="21">
        <v>0.93</v>
      </c>
      <c r="E35" s="59">
        <v>3.67</v>
      </c>
      <c r="F35" s="7">
        <v>0.011</v>
      </c>
      <c r="G35" s="23">
        <v>364.739116529999</v>
      </c>
      <c r="H35" s="24">
        <f t="shared" ref="H35:H67" si="6">F35*472/5</f>
        <v>1.0384</v>
      </c>
      <c r="I35" s="25">
        <f t="shared" ref="I35:I67" si="7">(H35-MIN($H$35:$H$67))/(MAX($H$35:$H$67)-MIN($H$35:$H$67))</f>
        <v>0.4285714286</v>
      </c>
      <c r="J35" s="24">
        <f t="shared" ref="J35:J67" si="8">(G35-MIN($G$35:$G$67))/(MAX($G$35:$G$67)-MIN($G$35:$G$67))</f>
        <v>0.4022635148</v>
      </c>
      <c r="K35" s="24">
        <f t="shared" ref="K35:K67" si="9">0.93*(1/(1+I35))*(1/(1+J35))*(1-0.0472)</f>
        <v>0.4423368315</v>
      </c>
      <c r="L35" s="24">
        <f t="shared" si="5"/>
        <v>0.9815844604</v>
      </c>
      <c r="M35" s="20"/>
      <c r="N35" s="34"/>
      <c r="O35" s="20" t="s">
        <v>16</v>
      </c>
      <c r="P35" s="19" t="s">
        <v>7</v>
      </c>
      <c r="Q35" s="40">
        <f>_xlfn.STDEV.P(H200,H232)</f>
        <v>0</v>
      </c>
      <c r="R35" s="38"/>
      <c r="S35" s="38"/>
      <c r="T35" s="38"/>
      <c r="AB35" s="41"/>
      <c r="AD35" s="26"/>
      <c r="AE35" s="26"/>
      <c r="AF35" s="26"/>
      <c r="AG35" s="26"/>
      <c r="AH35" s="26"/>
      <c r="AI35" s="26"/>
      <c r="AJ35" s="26"/>
    </row>
    <row r="36">
      <c r="A36" s="20" t="s">
        <v>15</v>
      </c>
      <c r="B36" s="7" t="s">
        <v>39</v>
      </c>
      <c r="C36" s="7">
        <v>2.0</v>
      </c>
      <c r="D36" s="21">
        <v>0.93</v>
      </c>
      <c r="E36" s="59">
        <v>3.3</v>
      </c>
      <c r="F36" s="7">
        <v>0.009</v>
      </c>
      <c r="G36" s="23">
        <v>320.458429660999</v>
      </c>
      <c r="H36" s="24">
        <f t="shared" si="6"/>
        <v>0.8496</v>
      </c>
      <c r="I36" s="25">
        <f t="shared" si="7"/>
        <v>0.1428571429</v>
      </c>
      <c r="J36" s="24">
        <f t="shared" si="8"/>
        <v>0.2009072625</v>
      </c>
      <c r="K36" s="24">
        <f t="shared" si="9"/>
        <v>0.6456293706</v>
      </c>
      <c r="L36" s="24">
        <f t="shared" si="5"/>
        <v>1.050793855</v>
      </c>
      <c r="M36" s="20"/>
      <c r="N36" s="34"/>
      <c r="O36" s="20"/>
      <c r="P36" s="19"/>
      <c r="R36" s="38"/>
      <c r="S36" s="38"/>
      <c r="T36" s="38"/>
      <c r="AB36" s="41"/>
      <c r="AD36" s="26"/>
      <c r="AE36" s="26"/>
      <c r="AF36" s="26"/>
      <c r="AG36" s="26"/>
      <c r="AH36" s="26"/>
      <c r="AI36" s="26"/>
      <c r="AJ36" s="26"/>
    </row>
    <row r="37">
      <c r="A37" s="20" t="s">
        <v>15</v>
      </c>
      <c r="B37" s="7" t="s">
        <v>39</v>
      </c>
      <c r="C37" s="7">
        <v>3.0</v>
      </c>
      <c r="D37" s="21">
        <v>0.93</v>
      </c>
      <c r="E37" s="59">
        <v>3.67</v>
      </c>
      <c r="F37" s="7">
        <v>0.011</v>
      </c>
      <c r="G37" s="23">
        <v>356.209757453</v>
      </c>
      <c r="H37" s="24">
        <f t="shared" si="6"/>
        <v>1.0384</v>
      </c>
      <c r="I37" s="25">
        <f t="shared" si="7"/>
        <v>0.4285714286</v>
      </c>
      <c r="J37" s="24">
        <f t="shared" si="8"/>
        <v>0.3634782136</v>
      </c>
      <c r="K37" s="24">
        <f t="shared" si="9"/>
        <v>0.4549194801</v>
      </c>
      <c r="L37" s="24">
        <f t="shared" si="5"/>
        <v>0.9544347495</v>
      </c>
      <c r="M37" s="20"/>
      <c r="N37" s="34"/>
      <c r="O37" s="20"/>
      <c r="P37" s="19"/>
      <c r="R37" s="38"/>
      <c r="S37" s="38"/>
      <c r="T37" s="38"/>
      <c r="AB37" s="41"/>
      <c r="AD37" s="26"/>
      <c r="AE37" s="26"/>
      <c r="AF37" s="26"/>
      <c r="AG37" s="26"/>
      <c r="AH37" s="26"/>
      <c r="AI37" s="26"/>
      <c r="AJ37" s="26"/>
    </row>
    <row r="38">
      <c r="A38" s="20" t="s">
        <v>15</v>
      </c>
      <c r="B38" s="7" t="s">
        <v>39</v>
      </c>
      <c r="C38" s="7">
        <v>4.0</v>
      </c>
      <c r="D38" s="21">
        <v>0.93</v>
      </c>
      <c r="E38" s="59">
        <v>3.83</v>
      </c>
      <c r="F38" s="7">
        <v>0.011</v>
      </c>
      <c r="G38" s="23">
        <v>364.934860338</v>
      </c>
      <c r="H38" s="24">
        <f t="shared" si="6"/>
        <v>1.0384</v>
      </c>
      <c r="I38" s="25">
        <f t="shared" si="7"/>
        <v>0.4285714286</v>
      </c>
      <c r="J38" s="24">
        <f t="shared" si="8"/>
        <v>0.4031536148</v>
      </c>
      <c r="K38" s="24">
        <f t="shared" si="9"/>
        <v>0.4420562321</v>
      </c>
      <c r="L38" s="24">
        <f t="shared" si="5"/>
        <v>0.9822075304</v>
      </c>
      <c r="N38" s="34"/>
      <c r="O38" s="20" t="s">
        <v>17</v>
      </c>
      <c r="P38" s="19" t="s">
        <v>7</v>
      </c>
      <c r="Q38" s="40">
        <f>_xlfn.STDEV.P(H332,H364)</f>
        <v>0.0918</v>
      </c>
      <c r="AB38" s="41"/>
      <c r="AD38" s="26"/>
      <c r="AE38" s="26"/>
      <c r="AF38" s="26"/>
      <c r="AG38" s="26"/>
      <c r="AH38" s="26"/>
      <c r="AI38" s="26"/>
      <c r="AJ38" s="26"/>
    </row>
    <row r="39">
      <c r="A39" s="20" t="s">
        <v>15</v>
      </c>
      <c r="B39" s="7" t="s">
        <v>39</v>
      </c>
      <c r="C39" s="7">
        <v>5.0</v>
      </c>
      <c r="D39" s="21">
        <v>0.93</v>
      </c>
      <c r="E39" s="59">
        <v>3.61</v>
      </c>
      <c r="F39" s="7">
        <v>0.01</v>
      </c>
      <c r="G39" s="23">
        <v>346.690744403999</v>
      </c>
      <c r="H39" s="24">
        <f t="shared" si="6"/>
        <v>0.944</v>
      </c>
      <c r="I39" s="25">
        <f t="shared" si="7"/>
        <v>0.2857142857</v>
      </c>
      <c r="J39" s="24">
        <f t="shared" si="8"/>
        <v>0.3201926883</v>
      </c>
      <c r="K39" s="24">
        <f t="shared" si="9"/>
        <v>0.5220389464</v>
      </c>
      <c r="L39" s="24">
        <f t="shared" si="5"/>
        <v>1.026816535</v>
      </c>
      <c r="N39" s="34"/>
      <c r="O39" s="20"/>
      <c r="P39" s="19"/>
      <c r="AB39" s="41"/>
      <c r="AD39" s="26"/>
      <c r="AE39" s="26"/>
      <c r="AF39" s="26"/>
      <c r="AG39" s="26"/>
      <c r="AH39" s="26"/>
      <c r="AI39" s="26"/>
      <c r="AJ39" s="26"/>
    </row>
    <row r="40">
      <c r="A40" s="20" t="s">
        <v>15</v>
      </c>
      <c r="B40" s="7" t="s">
        <v>39</v>
      </c>
      <c r="C40" s="7">
        <v>6.0</v>
      </c>
      <c r="D40" s="21">
        <v>0.93</v>
      </c>
      <c r="E40" s="59">
        <v>3.2</v>
      </c>
      <c r="F40" s="7">
        <v>0.009</v>
      </c>
      <c r="G40" s="23">
        <v>311.476423021999</v>
      </c>
      <c r="H40" s="24">
        <f t="shared" si="6"/>
        <v>0.8496</v>
      </c>
      <c r="I40" s="25">
        <f t="shared" si="7"/>
        <v>0.1428571429</v>
      </c>
      <c r="J40" s="24">
        <f t="shared" si="8"/>
        <v>0.1600636505</v>
      </c>
      <c r="K40" s="24">
        <f t="shared" si="9"/>
        <v>0.6683607401</v>
      </c>
      <c r="L40" s="24">
        <f t="shared" si="5"/>
        <v>1.015055694</v>
      </c>
      <c r="N40" s="34"/>
      <c r="O40" s="20"/>
      <c r="P40" s="19"/>
      <c r="AB40" s="41"/>
      <c r="AD40" s="26"/>
      <c r="AE40" s="26"/>
      <c r="AF40" s="26"/>
      <c r="AG40" s="26"/>
      <c r="AH40" s="26"/>
      <c r="AI40" s="26"/>
      <c r="AJ40" s="26"/>
    </row>
    <row r="41">
      <c r="A41" s="20" t="s">
        <v>15</v>
      </c>
      <c r="B41" s="7" t="s">
        <v>39</v>
      </c>
      <c r="C41" s="7">
        <v>7.0</v>
      </c>
      <c r="D41" s="21">
        <v>0.93</v>
      </c>
      <c r="E41" s="59">
        <v>3.74</v>
      </c>
      <c r="F41" s="7">
        <v>0.011</v>
      </c>
      <c r="G41" s="23">
        <v>358.675292914</v>
      </c>
      <c r="H41" s="24">
        <f t="shared" si="6"/>
        <v>1.0384</v>
      </c>
      <c r="I41" s="25">
        <f t="shared" si="7"/>
        <v>0.4285714286</v>
      </c>
      <c r="J41" s="24">
        <f t="shared" si="8"/>
        <v>0.3746896698</v>
      </c>
      <c r="K41" s="24">
        <f t="shared" si="9"/>
        <v>0.4512093265</v>
      </c>
      <c r="L41" s="24">
        <f t="shared" si="5"/>
        <v>0.9622827688</v>
      </c>
      <c r="N41" s="34"/>
      <c r="O41" s="20" t="s">
        <v>18</v>
      </c>
      <c r="P41" s="19" t="s">
        <v>7</v>
      </c>
      <c r="Q41" s="40">
        <f>_xlfn.STDEV.P(H464,H496)</f>
        <v>0</v>
      </c>
      <c r="AB41" s="41"/>
      <c r="AD41" s="26"/>
      <c r="AE41" s="26"/>
      <c r="AF41" s="26"/>
      <c r="AG41" s="26"/>
      <c r="AH41" s="26"/>
      <c r="AI41" s="26"/>
      <c r="AJ41" s="26"/>
    </row>
    <row r="42">
      <c r="A42" s="20" t="s">
        <v>15</v>
      </c>
      <c r="B42" s="7" t="s">
        <v>39</v>
      </c>
      <c r="C42" s="7">
        <v>8.0</v>
      </c>
      <c r="D42" s="21">
        <v>0.93</v>
      </c>
      <c r="E42" s="59">
        <v>4.34</v>
      </c>
      <c r="F42" s="7">
        <v>0.012</v>
      </c>
      <c r="G42" s="23">
        <v>412.367212617</v>
      </c>
      <c r="H42" s="24">
        <f t="shared" si="6"/>
        <v>1.1328</v>
      </c>
      <c r="I42" s="25">
        <f t="shared" si="7"/>
        <v>0.5714285714</v>
      </c>
      <c r="J42" s="24">
        <f t="shared" si="8"/>
        <v>0.6188413416</v>
      </c>
      <c r="K42" s="24">
        <f t="shared" si="9"/>
        <v>0.3483258977</v>
      </c>
      <c r="L42" s="24">
        <f t="shared" si="5"/>
        <v>1.030171763</v>
      </c>
      <c r="N42" s="34"/>
      <c r="O42" s="20"/>
      <c r="P42" s="19"/>
      <c r="AB42" s="41"/>
      <c r="AD42" s="26"/>
      <c r="AE42" s="26"/>
      <c r="AF42" s="26"/>
      <c r="AG42" s="26"/>
      <c r="AH42" s="26"/>
      <c r="AI42" s="26"/>
      <c r="AJ42" s="26"/>
    </row>
    <row r="43">
      <c r="A43" s="20" t="s">
        <v>15</v>
      </c>
      <c r="B43" s="7" t="s">
        <v>39</v>
      </c>
      <c r="C43" s="7">
        <v>9.0</v>
      </c>
      <c r="D43" s="21">
        <v>0.93</v>
      </c>
      <c r="E43" s="59">
        <v>3.1</v>
      </c>
      <c r="F43" s="7">
        <v>0.009</v>
      </c>
      <c r="G43" s="23">
        <v>295.42671536</v>
      </c>
      <c r="H43" s="24">
        <f t="shared" si="6"/>
        <v>0.8496</v>
      </c>
      <c r="I43" s="25">
        <f t="shared" si="7"/>
        <v>0.1428571429</v>
      </c>
      <c r="J43" s="24">
        <f t="shared" si="8"/>
        <v>0.08708129146</v>
      </c>
      <c r="K43" s="24">
        <f t="shared" si="9"/>
        <v>0.7132318494</v>
      </c>
      <c r="L43" s="24">
        <f t="shared" si="5"/>
        <v>0.95119613</v>
      </c>
      <c r="N43" s="34"/>
      <c r="O43" s="20"/>
      <c r="P43" s="19"/>
      <c r="AB43" s="41"/>
      <c r="AD43" s="26"/>
      <c r="AE43" s="26"/>
      <c r="AF43" s="26"/>
      <c r="AG43" s="26"/>
      <c r="AH43" s="26"/>
      <c r="AI43" s="26"/>
      <c r="AJ43" s="26"/>
    </row>
    <row r="44">
      <c r="A44" s="20" t="s">
        <v>15</v>
      </c>
      <c r="B44" s="7" t="s">
        <v>39</v>
      </c>
      <c r="C44" s="7">
        <v>10.0</v>
      </c>
      <c r="D44" s="21">
        <v>0.93</v>
      </c>
      <c r="E44" s="59">
        <v>3.39</v>
      </c>
      <c r="F44" s="7">
        <v>0.01</v>
      </c>
      <c r="G44" s="23">
        <v>325.974840248</v>
      </c>
      <c r="H44" s="24">
        <f t="shared" si="6"/>
        <v>0.944</v>
      </c>
      <c r="I44" s="25">
        <f t="shared" si="7"/>
        <v>0.2857142857</v>
      </c>
      <c r="J44" s="24">
        <f t="shared" si="8"/>
        <v>0.2259918725</v>
      </c>
      <c r="K44" s="24">
        <f t="shared" si="9"/>
        <v>0.5621505456</v>
      </c>
      <c r="L44" s="24">
        <f t="shared" si="5"/>
        <v>0.9535492342</v>
      </c>
      <c r="N44" s="34"/>
      <c r="O44" s="20" t="s">
        <v>19</v>
      </c>
      <c r="P44" s="19" t="s">
        <v>7</v>
      </c>
      <c r="Q44" s="40">
        <f>_xlfn.STDEV.P(H596,H628)</f>
        <v>0.0207</v>
      </c>
      <c r="AB44" s="41"/>
      <c r="AD44" s="26"/>
      <c r="AE44" s="26"/>
      <c r="AF44" s="26"/>
      <c r="AG44" s="26"/>
      <c r="AH44" s="26"/>
      <c r="AI44" s="26"/>
      <c r="AJ44" s="26"/>
    </row>
    <row r="45">
      <c r="A45" s="20" t="s">
        <v>15</v>
      </c>
      <c r="B45" s="7" t="s">
        <v>39</v>
      </c>
      <c r="C45" s="7">
        <v>11.0</v>
      </c>
      <c r="D45" s="21">
        <v>0.93</v>
      </c>
      <c r="E45" s="59">
        <v>3.89</v>
      </c>
      <c r="F45" s="7">
        <v>0.011</v>
      </c>
      <c r="G45" s="23">
        <v>372.968033727999</v>
      </c>
      <c r="H45" s="24">
        <f t="shared" si="6"/>
        <v>1.0384</v>
      </c>
      <c r="I45" s="25">
        <f t="shared" si="7"/>
        <v>0.4285714286</v>
      </c>
      <c r="J45" s="24">
        <f t="shared" si="8"/>
        <v>0.4396826256</v>
      </c>
      <c r="K45" s="24">
        <f t="shared" si="9"/>
        <v>0.4308399567</v>
      </c>
      <c r="L45" s="24">
        <f t="shared" si="5"/>
        <v>1.007777838</v>
      </c>
      <c r="N45" s="34"/>
      <c r="O45" s="20"/>
      <c r="P45" s="19"/>
      <c r="AB45" s="41"/>
      <c r="AD45" s="26"/>
      <c r="AE45" s="26"/>
      <c r="AF45" s="26"/>
      <c r="AG45" s="26"/>
      <c r="AH45" s="26"/>
      <c r="AI45" s="26"/>
      <c r="AJ45" s="26"/>
    </row>
    <row r="46">
      <c r="A46" s="20" t="s">
        <v>15</v>
      </c>
      <c r="B46" s="7" t="s">
        <v>39</v>
      </c>
      <c r="C46" s="7">
        <v>12.0</v>
      </c>
      <c r="D46" s="21">
        <v>0.93</v>
      </c>
      <c r="E46" s="59">
        <v>2.86</v>
      </c>
      <c r="F46" s="7">
        <v>0.008</v>
      </c>
      <c r="G46" s="23">
        <v>276.276481111</v>
      </c>
      <c r="H46" s="24">
        <f t="shared" si="6"/>
        <v>0.7552</v>
      </c>
      <c r="I46" s="25">
        <f t="shared" si="7"/>
        <v>0</v>
      </c>
      <c r="J46" s="24">
        <f t="shared" si="8"/>
        <v>0</v>
      </c>
      <c r="K46" s="24">
        <f t="shared" si="9"/>
        <v>0.886104</v>
      </c>
      <c r="L46" s="24">
        <f t="shared" si="5"/>
        <v>1</v>
      </c>
      <c r="N46" s="50"/>
      <c r="O46" s="20"/>
      <c r="P46" s="19"/>
      <c r="AB46" s="41"/>
      <c r="AD46" s="26"/>
      <c r="AE46" s="26"/>
      <c r="AF46" s="26"/>
      <c r="AG46" s="26"/>
      <c r="AH46" s="26"/>
      <c r="AI46" s="26"/>
      <c r="AJ46" s="26"/>
    </row>
    <row r="47">
      <c r="A47" s="20" t="s">
        <v>15</v>
      </c>
      <c r="B47" s="7" t="s">
        <v>39</v>
      </c>
      <c r="C47" s="7">
        <v>13.0</v>
      </c>
      <c r="D47" s="21">
        <v>0.93</v>
      </c>
      <c r="E47" s="59">
        <v>3.63</v>
      </c>
      <c r="F47" s="7">
        <v>0.01</v>
      </c>
      <c r="G47" s="23">
        <v>345.204943669</v>
      </c>
      <c r="H47" s="24">
        <f t="shared" si="6"/>
        <v>0.944</v>
      </c>
      <c r="I47" s="25">
        <f t="shared" si="7"/>
        <v>0.2857142857</v>
      </c>
      <c r="J47" s="24">
        <f t="shared" si="8"/>
        <v>0.3134363507</v>
      </c>
      <c r="K47" s="24">
        <f t="shared" si="9"/>
        <v>0.5247243231</v>
      </c>
      <c r="L47" s="24">
        <f t="shared" si="5"/>
        <v>1.021561606</v>
      </c>
      <c r="N47" s="27" t="s">
        <v>25</v>
      </c>
      <c r="O47" s="20" t="s">
        <v>15</v>
      </c>
      <c r="P47" s="19" t="s">
        <v>7</v>
      </c>
      <c r="Q47" s="60">
        <f>_xlfn.STDEV.P(H101,H133)</f>
        <v>0</v>
      </c>
      <c r="AB47" s="41"/>
      <c r="AD47" s="26"/>
      <c r="AE47" s="26"/>
      <c r="AF47" s="26"/>
      <c r="AG47" s="26"/>
      <c r="AH47" s="26"/>
      <c r="AI47" s="26"/>
      <c r="AJ47" s="26"/>
    </row>
    <row r="48">
      <c r="A48" s="20" t="s">
        <v>15</v>
      </c>
      <c r="B48" s="7" t="s">
        <v>39</v>
      </c>
      <c r="C48" s="7">
        <v>14.0</v>
      </c>
      <c r="D48" s="21">
        <v>0.93</v>
      </c>
      <c r="E48" s="59">
        <v>3.42</v>
      </c>
      <c r="F48" s="7">
        <v>0.01</v>
      </c>
      <c r="G48" s="23">
        <v>322.572370443</v>
      </c>
      <c r="H48" s="24">
        <f t="shared" si="6"/>
        <v>0.944</v>
      </c>
      <c r="I48" s="25">
        <f t="shared" si="7"/>
        <v>0.2857142857</v>
      </c>
      <c r="J48" s="24">
        <f t="shared" si="8"/>
        <v>0.2105199226</v>
      </c>
      <c r="K48" s="24">
        <f t="shared" si="9"/>
        <v>0.5693355286</v>
      </c>
      <c r="L48" s="24">
        <f t="shared" si="5"/>
        <v>0.9415154954</v>
      </c>
      <c r="N48" s="34"/>
      <c r="O48" s="20"/>
      <c r="P48" s="19"/>
      <c r="AB48" s="41"/>
      <c r="AD48" s="26"/>
      <c r="AE48" s="26"/>
      <c r="AF48" s="26"/>
      <c r="AG48" s="26"/>
      <c r="AH48" s="26"/>
      <c r="AI48" s="26"/>
      <c r="AJ48" s="26"/>
    </row>
    <row r="49">
      <c r="A49" s="20" t="s">
        <v>15</v>
      </c>
      <c r="B49" s="7" t="s">
        <v>39</v>
      </c>
      <c r="C49" s="7">
        <v>15.0</v>
      </c>
      <c r="D49" s="21">
        <v>0.93</v>
      </c>
      <c r="E49" s="59">
        <v>3.91</v>
      </c>
      <c r="F49" s="7">
        <v>0.011</v>
      </c>
      <c r="G49" s="23">
        <v>365.450877055999</v>
      </c>
      <c r="H49" s="24">
        <f t="shared" si="6"/>
        <v>1.0384</v>
      </c>
      <c r="I49" s="25">
        <f t="shared" si="7"/>
        <v>0.4285714286</v>
      </c>
      <c r="J49" s="24">
        <f t="shared" si="8"/>
        <v>0.4055000823</v>
      </c>
      <c r="K49" s="24">
        <f t="shared" si="9"/>
        <v>0.4413182239</v>
      </c>
      <c r="L49" s="24">
        <f t="shared" si="5"/>
        <v>0.9838500576</v>
      </c>
      <c r="N49" s="34"/>
      <c r="O49" s="20"/>
      <c r="P49" s="19"/>
      <c r="AB49" s="41"/>
      <c r="AD49" s="26"/>
      <c r="AE49" s="26"/>
      <c r="AF49" s="26"/>
      <c r="AG49" s="26"/>
      <c r="AH49" s="26"/>
      <c r="AI49" s="26"/>
      <c r="AJ49" s="26"/>
    </row>
    <row r="50">
      <c r="A50" s="20" t="s">
        <v>15</v>
      </c>
      <c r="B50" s="7" t="s">
        <v>39</v>
      </c>
      <c r="C50" s="7">
        <v>16.0</v>
      </c>
      <c r="D50" s="21">
        <v>0.93</v>
      </c>
      <c r="E50" s="59">
        <v>3.95</v>
      </c>
      <c r="F50" s="7">
        <v>0.011</v>
      </c>
      <c r="G50" s="23">
        <v>372.172524630999</v>
      </c>
      <c r="H50" s="24">
        <f t="shared" si="6"/>
        <v>1.0384</v>
      </c>
      <c r="I50" s="25">
        <f t="shared" si="7"/>
        <v>0.4285714286</v>
      </c>
      <c r="J50" s="24">
        <f t="shared" si="8"/>
        <v>0.4360652307</v>
      </c>
      <c r="K50" s="24">
        <f t="shared" si="9"/>
        <v>0.4319252265</v>
      </c>
      <c r="L50" s="24">
        <f t="shared" si="5"/>
        <v>1.005245661</v>
      </c>
      <c r="N50" s="34"/>
      <c r="O50" s="20" t="s">
        <v>16</v>
      </c>
      <c r="P50" s="19" t="s">
        <v>7</v>
      </c>
      <c r="Q50" s="40">
        <f>_xlfn.STDEV.P(H233,H265)</f>
        <v>0.0207</v>
      </c>
      <c r="AB50" s="41"/>
      <c r="AD50" s="26"/>
      <c r="AE50" s="26"/>
      <c r="AF50" s="26"/>
      <c r="AG50" s="26"/>
      <c r="AH50" s="26"/>
      <c r="AI50" s="26"/>
      <c r="AJ50" s="26"/>
    </row>
    <row r="51">
      <c r="A51" s="20" t="s">
        <v>15</v>
      </c>
      <c r="B51" s="7" t="s">
        <v>39</v>
      </c>
      <c r="C51" s="7">
        <v>17.0</v>
      </c>
      <c r="D51" s="21">
        <v>0.93</v>
      </c>
      <c r="E51" s="59">
        <v>3.78</v>
      </c>
      <c r="F51" s="7">
        <v>0.011</v>
      </c>
      <c r="G51" s="23">
        <v>355.983022440999</v>
      </c>
      <c r="H51" s="24">
        <f t="shared" si="6"/>
        <v>1.0384</v>
      </c>
      <c r="I51" s="25">
        <f t="shared" si="7"/>
        <v>0.4285714286</v>
      </c>
      <c r="J51" s="24">
        <f t="shared" si="8"/>
        <v>0.3624471882</v>
      </c>
      <c r="K51" s="24">
        <f t="shared" si="9"/>
        <v>0.4552637382</v>
      </c>
      <c r="L51" s="24">
        <f t="shared" si="5"/>
        <v>0.9537130317</v>
      </c>
      <c r="N51" s="34"/>
      <c r="O51" s="20"/>
      <c r="P51" s="19"/>
      <c r="AB51" s="41"/>
      <c r="AD51" s="26"/>
      <c r="AE51" s="26"/>
      <c r="AF51" s="26"/>
      <c r="AG51" s="26"/>
      <c r="AH51" s="26"/>
      <c r="AI51" s="26"/>
      <c r="AJ51" s="26"/>
    </row>
    <row r="52">
      <c r="A52" s="20" t="s">
        <v>15</v>
      </c>
      <c r="B52" s="7" t="s">
        <v>39</v>
      </c>
      <c r="C52" s="7">
        <v>18.0</v>
      </c>
      <c r="D52" s="21">
        <v>0.93</v>
      </c>
      <c r="E52" s="59">
        <v>3.57</v>
      </c>
      <c r="F52" s="7">
        <v>0.01</v>
      </c>
      <c r="G52" s="23">
        <v>339.857044899</v>
      </c>
      <c r="H52" s="24">
        <f t="shared" si="6"/>
        <v>0.944</v>
      </c>
      <c r="I52" s="25">
        <f t="shared" si="7"/>
        <v>0.2857142857</v>
      </c>
      <c r="J52" s="24">
        <f t="shared" si="8"/>
        <v>0.2891180094</v>
      </c>
      <c r="K52" s="24">
        <f t="shared" si="9"/>
        <v>0.5346228933</v>
      </c>
      <c r="L52" s="24">
        <f t="shared" si="5"/>
        <v>1.002647341</v>
      </c>
      <c r="N52" s="34"/>
      <c r="O52" s="20"/>
      <c r="P52" s="19"/>
      <c r="AB52" s="41"/>
      <c r="AD52" s="26"/>
      <c r="AE52" s="26"/>
      <c r="AF52" s="26"/>
      <c r="AG52" s="26"/>
      <c r="AH52" s="26"/>
      <c r="AI52" s="26"/>
      <c r="AJ52" s="26"/>
    </row>
    <row r="53">
      <c r="A53" s="20" t="s">
        <v>15</v>
      </c>
      <c r="B53" s="7" t="s">
        <v>39</v>
      </c>
      <c r="C53" s="7">
        <v>19.0</v>
      </c>
      <c r="D53" s="21">
        <v>0.93</v>
      </c>
      <c r="E53" s="59">
        <v>5.05</v>
      </c>
      <c r="F53" s="7">
        <v>0.014</v>
      </c>
      <c r="G53" s="23">
        <v>473.222511349999</v>
      </c>
      <c r="H53" s="24">
        <f t="shared" si="6"/>
        <v>1.3216</v>
      </c>
      <c r="I53" s="25">
        <f t="shared" si="7"/>
        <v>0.8571428571</v>
      </c>
      <c r="J53" s="24">
        <f t="shared" si="8"/>
        <v>0.8955668342</v>
      </c>
      <c r="K53" s="24">
        <f t="shared" si="9"/>
        <v>0.251709892</v>
      </c>
      <c r="L53" s="24">
        <f t="shared" si="5"/>
        <v>1.020689834</v>
      </c>
      <c r="N53" s="34"/>
      <c r="O53" s="20" t="s">
        <v>17</v>
      </c>
      <c r="P53" s="19" t="s">
        <v>7</v>
      </c>
      <c r="Q53" s="40">
        <f>_xlfn.STDEV.P(H365,H397)</f>
        <v>0.0472</v>
      </c>
      <c r="AB53" s="41"/>
      <c r="AD53" s="61"/>
    </row>
    <row r="54">
      <c r="A54" s="20" t="s">
        <v>15</v>
      </c>
      <c r="B54" s="7" t="s">
        <v>39</v>
      </c>
      <c r="C54" s="7">
        <v>20.0</v>
      </c>
      <c r="D54" s="21">
        <v>0.93</v>
      </c>
      <c r="E54" s="59">
        <v>3.42</v>
      </c>
      <c r="F54" s="7">
        <v>0.01</v>
      </c>
      <c r="G54" s="23">
        <v>323.722679171</v>
      </c>
      <c r="H54" s="24">
        <f t="shared" si="6"/>
        <v>0.944</v>
      </c>
      <c r="I54" s="25">
        <f t="shared" si="7"/>
        <v>0.2857142857</v>
      </c>
      <c r="J54" s="24">
        <f t="shared" si="8"/>
        <v>0.2157506873</v>
      </c>
      <c r="K54" s="24">
        <f t="shared" si="9"/>
        <v>0.5668859637</v>
      </c>
      <c r="L54" s="24">
        <f t="shared" si="5"/>
        <v>0.9455838679</v>
      </c>
      <c r="N54" s="34"/>
      <c r="O54" s="20"/>
      <c r="P54" s="19"/>
      <c r="AB54" s="41"/>
      <c r="AD54" s="6"/>
      <c r="AE54" s="26"/>
      <c r="AF54" s="55"/>
      <c r="AG54" s="55"/>
      <c r="AH54" s="55"/>
      <c r="AI54" s="55"/>
      <c r="AJ54" s="55"/>
    </row>
    <row r="55">
      <c r="A55" s="20" t="s">
        <v>15</v>
      </c>
      <c r="B55" s="7" t="s">
        <v>39</v>
      </c>
      <c r="C55" s="7">
        <v>21.0</v>
      </c>
      <c r="D55" s="21">
        <v>0.93</v>
      </c>
      <c r="E55" s="59">
        <v>4.74</v>
      </c>
      <c r="F55" s="7">
        <v>0.014</v>
      </c>
      <c r="G55" s="23">
        <v>447.414836382999</v>
      </c>
      <c r="H55" s="24">
        <f t="shared" si="6"/>
        <v>1.3216</v>
      </c>
      <c r="I55" s="25">
        <f t="shared" si="7"/>
        <v>0.8571428571</v>
      </c>
      <c r="J55" s="24">
        <f t="shared" si="8"/>
        <v>0.7782123603</v>
      </c>
      <c r="K55" s="24">
        <f t="shared" si="9"/>
        <v>0.2683216773</v>
      </c>
      <c r="L55" s="24">
        <f t="shared" si="5"/>
        <v>0.9574989632</v>
      </c>
      <c r="N55" s="34"/>
      <c r="O55" s="20"/>
      <c r="P55" s="19"/>
      <c r="AB55" s="41"/>
      <c r="AD55" s="26"/>
      <c r="AE55" s="26"/>
      <c r="AF55" s="26"/>
      <c r="AG55" s="26"/>
      <c r="AH55" s="26"/>
      <c r="AI55" s="26"/>
      <c r="AJ55" s="26"/>
    </row>
    <row r="56">
      <c r="A56" s="20" t="s">
        <v>15</v>
      </c>
      <c r="B56" s="7" t="s">
        <v>39</v>
      </c>
      <c r="C56" s="7">
        <v>22.0</v>
      </c>
      <c r="D56" s="21">
        <v>0.93</v>
      </c>
      <c r="E56" s="59">
        <v>4.53</v>
      </c>
      <c r="F56" s="7">
        <v>0.013</v>
      </c>
      <c r="G56" s="23">
        <v>418.416853756998</v>
      </c>
      <c r="H56" s="24">
        <f t="shared" si="6"/>
        <v>1.2272</v>
      </c>
      <c r="I56" s="25">
        <f t="shared" si="7"/>
        <v>0.7142857143</v>
      </c>
      <c r="J56" s="24">
        <f t="shared" si="8"/>
        <v>0.6463506951</v>
      </c>
      <c r="K56" s="24">
        <f t="shared" si="9"/>
        <v>0.3139634839</v>
      </c>
      <c r="L56" s="24">
        <f t="shared" si="5"/>
        <v>0.9603712388</v>
      </c>
      <c r="N56" s="34"/>
      <c r="O56" s="20" t="s">
        <v>18</v>
      </c>
      <c r="P56" s="19" t="s">
        <v>7</v>
      </c>
      <c r="Q56" s="40">
        <f>_xlfn.STDEV.P(H497,H529)</f>
        <v>0</v>
      </c>
      <c r="AB56" s="41"/>
      <c r="AD56" s="26"/>
      <c r="AE56" s="26"/>
      <c r="AF56" s="26"/>
      <c r="AG56" s="26"/>
      <c r="AH56" s="26"/>
      <c r="AI56" s="26"/>
      <c r="AJ56" s="26"/>
    </row>
    <row r="57">
      <c r="A57" s="20" t="s">
        <v>15</v>
      </c>
      <c r="B57" s="7" t="s">
        <v>39</v>
      </c>
      <c r="C57" s="7">
        <v>23.0</v>
      </c>
      <c r="D57" s="21">
        <v>0.93</v>
      </c>
      <c r="E57" s="59">
        <v>4.2</v>
      </c>
      <c r="F57" s="7">
        <v>0.012</v>
      </c>
      <c r="G57" s="23">
        <v>391.758038107</v>
      </c>
      <c r="H57" s="24">
        <f t="shared" si="6"/>
        <v>1.1328</v>
      </c>
      <c r="I57" s="25">
        <f t="shared" si="7"/>
        <v>0.5714285714</v>
      </c>
      <c r="J57" s="24">
        <f t="shared" si="8"/>
        <v>0.5251258545</v>
      </c>
      <c r="K57" s="24">
        <f t="shared" si="9"/>
        <v>0.3697297256</v>
      </c>
      <c r="L57" s="24">
        <f t="shared" si="5"/>
        <v>0.9705346347</v>
      </c>
      <c r="N57" s="34"/>
      <c r="O57" s="20"/>
      <c r="P57" s="19"/>
      <c r="AB57" s="41"/>
      <c r="AD57" s="26"/>
      <c r="AE57" s="26"/>
      <c r="AF57" s="26"/>
      <c r="AG57" s="26"/>
      <c r="AH57" s="26"/>
      <c r="AI57" s="26"/>
      <c r="AJ57" s="26"/>
    </row>
    <row r="58">
      <c r="A58" s="20" t="s">
        <v>15</v>
      </c>
      <c r="B58" s="7" t="s">
        <v>39</v>
      </c>
      <c r="C58" s="7">
        <v>24.0</v>
      </c>
      <c r="D58" s="21">
        <v>0.93</v>
      </c>
      <c r="E58" s="59">
        <v>5.35</v>
      </c>
      <c r="F58" s="7">
        <v>0.015</v>
      </c>
      <c r="G58" s="23">
        <v>496.188633627</v>
      </c>
      <c r="H58" s="24">
        <f t="shared" si="6"/>
        <v>1.416</v>
      </c>
      <c r="I58" s="25">
        <f t="shared" si="7"/>
        <v>1</v>
      </c>
      <c r="J58" s="24">
        <f t="shared" si="8"/>
        <v>1</v>
      </c>
      <c r="K58" s="24">
        <f t="shared" si="9"/>
        <v>0.221526</v>
      </c>
      <c r="L58" s="24">
        <f t="shared" si="5"/>
        <v>1</v>
      </c>
      <c r="N58" s="34"/>
      <c r="O58" s="20"/>
      <c r="P58" s="19"/>
      <c r="AB58" s="41"/>
      <c r="AD58" s="26"/>
      <c r="AE58" s="26"/>
      <c r="AF58" s="26"/>
      <c r="AG58" s="26"/>
      <c r="AH58" s="26"/>
      <c r="AI58" s="26"/>
      <c r="AJ58" s="26"/>
    </row>
    <row r="59">
      <c r="A59" s="20" t="s">
        <v>15</v>
      </c>
      <c r="B59" s="7" t="s">
        <v>39</v>
      </c>
      <c r="C59" s="7">
        <v>25.0</v>
      </c>
      <c r="D59" s="21">
        <v>0.93</v>
      </c>
      <c r="E59" s="59">
        <v>4.34</v>
      </c>
      <c r="F59" s="7">
        <v>0.012</v>
      </c>
      <c r="G59" s="23">
        <v>421.275294069</v>
      </c>
      <c r="H59" s="24">
        <f t="shared" si="6"/>
        <v>1.1328</v>
      </c>
      <c r="I59" s="25">
        <f t="shared" si="7"/>
        <v>0.5714285714</v>
      </c>
      <c r="J59" s="24">
        <f t="shared" si="8"/>
        <v>0.6593487959</v>
      </c>
      <c r="K59" s="24">
        <f t="shared" si="9"/>
        <v>0.3398226853</v>
      </c>
      <c r="L59" s="24">
        <f t="shared" si="5"/>
        <v>1.055949234</v>
      </c>
      <c r="N59" s="34"/>
      <c r="O59" s="20" t="s">
        <v>19</v>
      </c>
      <c r="P59" s="19" t="s">
        <v>7</v>
      </c>
      <c r="Q59" s="40">
        <f>_xlfn.STDEV.P(H629,H661)</f>
        <v>0.0954</v>
      </c>
      <c r="AB59" s="41"/>
      <c r="AD59" s="26"/>
      <c r="AE59" s="26"/>
      <c r="AF59" s="26"/>
      <c r="AG59" s="26"/>
      <c r="AH59" s="26"/>
      <c r="AI59" s="26"/>
      <c r="AJ59" s="26"/>
    </row>
    <row r="60">
      <c r="A60" s="20" t="s">
        <v>15</v>
      </c>
      <c r="B60" s="7" t="s">
        <v>39</v>
      </c>
      <c r="C60" s="7">
        <v>26.0</v>
      </c>
      <c r="D60" s="21">
        <v>0.93</v>
      </c>
      <c r="E60" s="59">
        <v>4.87</v>
      </c>
      <c r="F60" s="7">
        <v>0.014</v>
      </c>
      <c r="G60" s="23">
        <v>450.087726644998</v>
      </c>
      <c r="H60" s="24">
        <f t="shared" si="6"/>
        <v>1.3216</v>
      </c>
      <c r="I60" s="25">
        <f t="shared" si="7"/>
        <v>0.8571428571</v>
      </c>
      <c r="J60" s="24">
        <f t="shared" si="8"/>
        <v>0.7903667148</v>
      </c>
      <c r="K60" s="24">
        <f t="shared" si="9"/>
        <v>0.2665001081</v>
      </c>
      <c r="L60" s="24">
        <f t="shared" si="5"/>
        <v>0.9640436157</v>
      </c>
      <c r="N60" s="34"/>
      <c r="O60" s="20"/>
      <c r="P60" s="19"/>
      <c r="AB60" s="41"/>
      <c r="AD60" s="26"/>
      <c r="AE60" s="26"/>
      <c r="AF60" s="26"/>
      <c r="AG60" s="26"/>
      <c r="AH60" s="26"/>
      <c r="AI60" s="26"/>
      <c r="AJ60" s="26"/>
    </row>
    <row r="61">
      <c r="A61" s="20" t="s">
        <v>15</v>
      </c>
      <c r="B61" s="7" t="s">
        <v>39</v>
      </c>
      <c r="C61" s="7">
        <v>27.0</v>
      </c>
      <c r="D61" s="21">
        <v>0.93</v>
      </c>
      <c r="E61" s="59">
        <v>5.01</v>
      </c>
      <c r="F61" s="7">
        <v>0.014</v>
      </c>
      <c r="G61" s="23">
        <v>466.913898417999</v>
      </c>
      <c r="H61" s="24">
        <f t="shared" si="6"/>
        <v>1.3216</v>
      </c>
      <c r="I61" s="25">
        <f t="shared" si="7"/>
        <v>0.8571428571</v>
      </c>
      <c r="J61" s="24">
        <f t="shared" si="8"/>
        <v>0.866879866</v>
      </c>
      <c r="K61" s="24">
        <f t="shared" si="9"/>
        <v>0.2555777325</v>
      </c>
      <c r="L61" s="24">
        <f t="shared" si="5"/>
        <v>1.005243005</v>
      </c>
      <c r="N61" s="50"/>
      <c r="O61" s="20"/>
      <c r="P61" s="19"/>
      <c r="AB61" s="41"/>
      <c r="AD61" s="26"/>
      <c r="AE61" s="26"/>
      <c r="AF61" s="26"/>
      <c r="AG61" s="26"/>
      <c r="AH61" s="26"/>
      <c r="AI61" s="26"/>
      <c r="AJ61" s="26"/>
    </row>
    <row r="62">
      <c r="A62" s="20" t="s">
        <v>15</v>
      </c>
      <c r="B62" s="7" t="s">
        <v>39</v>
      </c>
      <c r="C62" s="7">
        <v>28.0</v>
      </c>
      <c r="D62" s="21">
        <v>0.93</v>
      </c>
      <c r="E62" s="59">
        <v>3.48</v>
      </c>
      <c r="F62" s="7">
        <v>0.01</v>
      </c>
      <c r="G62" s="23">
        <v>332.709689029999</v>
      </c>
      <c r="H62" s="24">
        <f t="shared" si="6"/>
        <v>0.944</v>
      </c>
      <c r="I62" s="25">
        <f t="shared" si="7"/>
        <v>0.2857142857</v>
      </c>
      <c r="J62" s="24">
        <f t="shared" si="8"/>
        <v>0.2566170504</v>
      </c>
      <c r="K62" s="24">
        <f t="shared" si="9"/>
        <v>0.5484503014</v>
      </c>
      <c r="L62" s="24">
        <f t="shared" si="5"/>
        <v>0.977368817</v>
      </c>
      <c r="N62" s="62" t="s">
        <v>26</v>
      </c>
      <c r="O62" s="20" t="s">
        <v>18</v>
      </c>
      <c r="P62" s="19" t="s">
        <v>7</v>
      </c>
      <c r="Q62" s="40">
        <f>_xlfn.STDEV.P(H728,H760)</f>
        <v>0.0477</v>
      </c>
      <c r="AB62" s="41"/>
      <c r="AD62" s="26"/>
      <c r="AE62" s="26"/>
      <c r="AF62" s="26"/>
      <c r="AG62" s="26"/>
      <c r="AH62" s="26"/>
      <c r="AI62" s="26"/>
      <c r="AJ62" s="26"/>
    </row>
    <row r="63">
      <c r="A63" s="20" t="s">
        <v>15</v>
      </c>
      <c r="B63" s="7" t="s">
        <v>39</v>
      </c>
      <c r="C63" s="7">
        <v>29.0</v>
      </c>
      <c r="D63" s="21">
        <v>0.93</v>
      </c>
      <c r="E63" s="59">
        <v>4.08</v>
      </c>
      <c r="F63" s="7">
        <v>0.012</v>
      </c>
      <c r="G63" s="23">
        <v>380.810875638</v>
      </c>
      <c r="H63" s="24">
        <f t="shared" si="6"/>
        <v>1.1328</v>
      </c>
      <c r="I63" s="25">
        <f t="shared" si="7"/>
        <v>0.5714285714</v>
      </c>
      <c r="J63" s="24">
        <f t="shared" si="8"/>
        <v>0.4753461477</v>
      </c>
      <c r="K63" s="24">
        <f t="shared" si="9"/>
        <v>0.3822047894</v>
      </c>
      <c r="L63" s="24">
        <f t="shared" si="5"/>
        <v>0.9388566394</v>
      </c>
      <c r="N63" s="63"/>
      <c r="O63" s="20"/>
      <c r="P63" s="19"/>
      <c r="AD63" s="26"/>
      <c r="AE63" s="26"/>
      <c r="AF63" s="26"/>
      <c r="AG63" s="26"/>
      <c r="AH63" s="26"/>
      <c r="AI63" s="26"/>
      <c r="AJ63" s="26"/>
    </row>
    <row r="64">
      <c r="A64" s="20" t="s">
        <v>15</v>
      </c>
      <c r="B64" s="7" t="s">
        <v>39</v>
      </c>
      <c r="C64" s="7">
        <v>30.0</v>
      </c>
      <c r="D64" s="21">
        <v>0.93</v>
      </c>
      <c r="E64" s="59">
        <v>4.2</v>
      </c>
      <c r="F64" s="7">
        <v>0.012</v>
      </c>
      <c r="G64" s="23">
        <v>391.680196656001</v>
      </c>
      <c r="H64" s="24">
        <f t="shared" si="6"/>
        <v>1.1328</v>
      </c>
      <c r="I64" s="25">
        <f t="shared" si="7"/>
        <v>0.5714285714</v>
      </c>
      <c r="J64" s="24">
        <f t="shared" si="8"/>
        <v>0.5247718883</v>
      </c>
      <c r="K64" s="24">
        <f t="shared" si="9"/>
        <v>0.369815556</v>
      </c>
      <c r="L64" s="24">
        <f t="shared" si="5"/>
        <v>0.9703093835</v>
      </c>
      <c r="N64" s="63"/>
      <c r="O64" s="20"/>
      <c r="P64" s="19"/>
      <c r="AD64" s="26"/>
      <c r="AE64" s="26"/>
      <c r="AF64" s="26"/>
      <c r="AG64" s="26"/>
      <c r="AH64" s="26"/>
      <c r="AI64" s="26"/>
      <c r="AJ64" s="26"/>
    </row>
    <row r="65">
      <c r="A65" s="20" t="s">
        <v>15</v>
      </c>
      <c r="B65" s="7" t="s">
        <v>39</v>
      </c>
      <c r="C65" s="7">
        <v>31.0</v>
      </c>
      <c r="D65" s="21">
        <v>0.93</v>
      </c>
      <c r="E65" s="59">
        <v>4.23</v>
      </c>
      <c r="F65" s="7">
        <v>0.012</v>
      </c>
      <c r="G65" s="23">
        <v>398.978322781998</v>
      </c>
      <c r="H65" s="24">
        <f t="shared" si="6"/>
        <v>1.1328</v>
      </c>
      <c r="I65" s="25">
        <f t="shared" si="7"/>
        <v>0.5714285714</v>
      </c>
      <c r="J65" s="24">
        <f t="shared" si="8"/>
        <v>0.5579584405</v>
      </c>
      <c r="K65" s="24">
        <f t="shared" si="9"/>
        <v>0.361938001</v>
      </c>
      <c r="L65" s="24">
        <f t="shared" si="5"/>
        <v>0.9914280985</v>
      </c>
      <c r="N65" s="63"/>
      <c r="O65" s="20" t="s">
        <v>19</v>
      </c>
      <c r="P65" s="19" t="s">
        <v>7</v>
      </c>
      <c r="Q65" s="40">
        <f>_xlfn.STDEV.P(H662,H694)</f>
        <v>0</v>
      </c>
      <c r="AB65" s="41"/>
      <c r="AD65" s="26"/>
      <c r="AE65" s="26"/>
      <c r="AF65" s="26"/>
      <c r="AG65" s="26"/>
      <c r="AH65" s="26"/>
      <c r="AI65" s="26"/>
      <c r="AJ65" s="26"/>
    </row>
    <row r="66">
      <c r="A66" s="20" t="s">
        <v>15</v>
      </c>
      <c r="B66" s="7" t="s">
        <v>39</v>
      </c>
      <c r="C66" s="7">
        <v>32.0</v>
      </c>
      <c r="D66" s="21">
        <v>0.93</v>
      </c>
      <c r="E66" s="59">
        <v>4.84</v>
      </c>
      <c r="F66" s="7">
        <v>0.014</v>
      </c>
      <c r="G66" s="23">
        <v>455.169504663999</v>
      </c>
      <c r="H66" s="24">
        <f t="shared" si="6"/>
        <v>1.3216</v>
      </c>
      <c r="I66" s="25">
        <f t="shared" si="7"/>
        <v>0.8571428571</v>
      </c>
      <c r="J66" s="24">
        <f t="shared" si="8"/>
        <v>0.8134749331</v>
      </c>
      <c r="K66" s="24">
        <f t="shared" si="9"/>
        <v>0.2631042284</v>
      </c>
      <c r="L66" s="24">
        <f t="shared" si="5"/>
        <v>0.9764865024</v>
      </c>
      <c r="N66" s="63"/>
      <c r="O66" s="20"/>
      <c r="P66" s="19"/>
      <c r="AD66" s="26"/>
      <c r="AE66" s="26"/>
      <c r="AF66" s="26"/>
      <c r="AG66" s="26"/>
      <c r="AH66" s="26"/>
      <c r="AI66" s="26"/>
      <c r="AJ66" s="26"/>
    </row>
    <row r="67">
      <c r="A67" s="20" t="s">
        <v>15</v>
      </c>
      <c r="B67" s="7" t="s">
        <v>39</v>
      </c>
      <c r="C67" s="7">
        <v>33.0</v>
      </c>
      <c r="D67" s="21">
        <v>0.93</v>
      </c>
      <c r="E67" s="59">
        <v>3.54</v>
      </c>
      <c r="F67" s="7">
        <v>0.01</v>
      </c>
      <c r="G67" s="23">
        <v>333.513630426999</v>
      </c>
      <c r="H67" s="24">
        <f t="shared" si="6"/>
        <v>0.944</v>
      </c>
      <c r="I67" s="25">
        <f t="shared" si="7"/>
        <v>0.2857142857</v>
      </c>
      <c r="J67" s="24">
        <f t="shared" si="8"/>
        <v>0.2602727892</v>
      </c>
      <c r="K67" s="24">
        <f t="shared" si="9"/>
        <v>0.5468593831</v>
      </c>
      <c r="L67" s="24">
        <f t="shared" si="5"/>
        <v>0.9802121694</v>
      </c>
      <c r="N67" s="63"/>
      <c r="O67" s="20"/>
      <c r="P67" s="19"/>
      <c r="AD67" s="26"/>
      <c r="AE67" s="26"/>
      <c r="AF67" s="26"/>
      <c r="AG67" s="26"/>
      <c r="AH67" s="26"/>
      <c r="AI67" s="26"/>
      <c r="AJ67" s="26"/>
    </row>
    <row r="68">
      <c r="A68" s="57" t="s">
        <v>15</v>
      </c>
      <c r="B68" s="58" t="s">
        <v>40</v>
      </c>
      <c r="C68" s="7">
        <v>1.0</v>
      </c>
      <c r="D68" s="21">
        <v>0.93</v>
      </c>
      <c r="E68" s="59">
        <v>2.79</v>
      </c>
      <c r="F68" s="7">
        <v>0.01</v>
      </c>
      <c r="G68" s="23">
        <v>387.809002337</v>
      </c>
      <c r="H68" s="24">
        <f t="shared" ref="H68:H100" si="10">F68*153/5</f>
        <v>0.306</v>
      </c>
      <c r="I68" s="25">
        <f t="shared" ref="I68:I100" si="11">(H68-MIN($H$68:$H$100))/(MAX($H$68:$H$100)-MIN($H$68:$H$100))</f>
        <v>0.125</v>
      </c>
      <c r="J68" s="24">
        <f t="shared" ref="J68:J100" si="12">(G68-MIN($G$68:$G$100))/(MAX($G$68:$G$100)-(MIN($G$68:$G$100)))</f>
        <v>0.2569611921</v>
      </c>
      <c r="K68" s="24">
        <f t="shared" ref="K68:K100" si="13">0.93*(1/(1+I68))*(1/(1+J68))*(1-0.0153)</f>
        <v>0.647608432</v>
      </c>
      <c r="L68" s="24">
        <f t="shared" si="5"/>
        <v>1.117298837</v>
      </c>
      <c r="N68" s="64" t="s">
        <v>41</v>
      </c>
      <c r="O68" s="20" t="s">
        <v>18</v>
      </c>
      <c r="P68" s="19" t="s">
        <v>7</v>
      </c>
      <c r="Q68" s="40">
        <f>_xlfn.STDEV.P(H761,H793)</f>
        <v>0</v>
      </c>
      <c r="AB68" s="65"/>
      <c r="AD68" s="26"/>
      <c r="AE68" s="26"/>
      <c r="AF68" s="26"/>
      <c r="AG68" s="26"/>
      <c r="AH68" s="26"/>
      <c r="AI68" s="26"/>
      <c r="AJ68" s="26"/>
    </row>
    <row r="69">
      <c r="A69" s="20" t="s">
        <v>15</v>
      </c>
      <c r="B69" s="7" t="s">
        <v>40</v>
      </c>
      <c r="C69" s="7">
        <v>2.0</v>
      </c>
      <c r="D69" s="21">
        <v>0.93</v>
      </c>
      <c r="E69" s="59">
        <v>2.98</v>
      </c>
      <c r="F69" s="7">
        <v>0.011</v>
      </c>
      <c r="G69" s="23">
        <v>401.244772925</v>
      </c>
      <c r="H69" s="24">
        <f t="shared" si="10"/>
        <v>0.3366</v>
      </c>
      <c r="I69" s="25">
        <f t="shared" si="11"/>
        <v>0.25</v>
      </c>
      <c r="J69" s="24">
        <f t="shared" si="12"/>
        <v>0.3037833</v>
      </c>
      <c r="K69" s="24">
        <f t="shared" si="13"/>
        <v>0.5619160791</v>
      </c>
      <c r="L69" s="24">
        <f t="shared" si="5"/>
        <v>1.04302664</v>
      </c>
      <c r="N69" s="63"/>
      <c r="O69" s="20"/>
      <c r="P69" s="19"/>
      <c r="AD69" s="26"/>
      <c r="AE69" s="26"/>
      <c r="AF69" s="26"/>
      <c r="AG69" s="26"/>
      <c r="AH69" s="26"/>
      <c r="AI69" s="26"/>
      <c r="AJ69" s="26"/>
    </row>
    <row r="70">
      <c r="A70" s="20" t="s">
        <v>15</v>
      </c>
      <c r="B70" s="7" t="s">
        <v>40</v>
      </c>
      <c r="C70" s="7">
        <v>3.0</v>
      </c>
      <c r="D70" s="21">
        <v>0.93</v>
      </c>
      <c r="E70" s="59">
        <v>2.4</v>
      </c>
      <c r="F70" s="7">
        <v>0.009</v>
      </c>
      <c r="G70" s="23">
        <v>323.245316590999</v>
      </c>
      <c r="H70" s="24">
        <f t="shared" si="10"/>
        <v>0.2754</v>
      </c>
      <c r="I70" s="25">
        <f t="shared" si="11"/>
        <v>0</v>
      </c>
      <c r="J70" s="24">
        <f t="shared" si="12"/>
        <v>0.03196420786</v>
      </c>
      <c r="K70" s="24">
        <f t="shared" si="13"/>
        <v>0.8874057773</v>
      </c>
      <c r="L70" s="24">
        <f t="shared" si="5"/>
        <v>1.031964208</v>
      </c>
      <c r="N70" s="63"/>
      <c r="O70" s="20"/>
      <c r="P70" s="19"/>
      <c r="R70" s="66"/>
      <c r="S70" s="66"/>
      <c r="AD70" s="26"/>
      <c r="AE70" s="26"/>
      <c r="AF70" s="26"/>
      <c r="AG70" s="26"/>
      <c r="AH70" s="26"/>
      <c r="AI70" s="26"/>
      <c r="AJ70" s="26"/>
    </row>
    <row r="71">
      <c r="A71" s="20" t="s">
        <v>15</v>
      </c>
      <c r="B71" s="7" t="s">
        <v>40</v>
      </c>
      <c r="C71" s="7">
        <v>4.0</v>
      </c>
      <c r="D71" s="21">
        <v>0.93</v>
      </c>
      <c r="E71" s="59">
        <v>3.69</v>
      </c>
      <c r="F71" s="7">
        <v>0.014</v>
      </c>
      <c r="G71" s="23">
        <v>493.658719351</v>
      </c>
      <c r="H71" s="24">
        <f t="shared" si="10"/>
        <v>0.4284</v>
      </c>
      <c r="I71" s="25">
        <f t="shared" si="11"/>
        <v>0.625</v>
      </c>
      <c r="J71" s="24">
        <f t="shared" si="12"/>
        <v>0.6258352245</v>
      </c>
      <c r="K71" s="24">
        <f t="shared" si="13"/>
        <v>0.3466226934</v>
      </c>
      <c r="L71" s="24">
        <f t="shared" si="5"/>
        <v>1.000513984</v>
      </c>
      <c r="N71" s="63"/>
      <c r="O71" s="20" t="s">
        <v>19</v>
      </c>
      <c r="P71" s="19" t="s">
        <v>7</v>
      </c>
      <c r="Q71" s="40">
        <f>_xlfn.STDEV.P(H695,H727)</f>
        <v>0.0477</v>
      </c>
      <c r="AB71" s="41"/>
      <c r="AD71" s="26"/>
      <c r="AE71" s="26"/>
      <c r="AF71" s="26"/>
      <c r="AG71" s="26"/>
      <c r="AH71" s="26"/>
      <c r="AI71" s="26"/>
      <c r="AJ71" s="26"/>
    </row>
    <row r="72">
      <c r="A72" s="20" t="s">
        <v>15</v>
      </c>
      <c r="B72" s="7" t="s">
        <v>40</v>
      </c>
      <c r="C72" s="7">
        <v>5.0</v>
      </c>
      <c r="D72" s="21">
        <v>0.93</v>
      </c>
      <c r="E72" s="59">
        <v>3.05</v>
      </c>
      <c r="F72" s="7">
        <v>0.011</v>
      </c>
      <c r="G72" s="23">
        <v>404.025503805</v>
      </c>
      <c r="H72" s="24">
        <f t="shared" si="10"/>
        <v>0.3366</v>
      </c>
      <c r="I72" s="25">
        <f t="shared" si="11"/>
        <v>0.25</v>
      </c>
      <c r="J72" s="24">
        <f t="shared" si="12"/>
        <v>0.3134738258</v>
      </c>
      <c r="K72" s="24">
        <f t="shared" si="13"/>
        <v>0.5577703838</v>
      </c>
      <c r="L72" s="24">
        <f t="shared" si="5"/>
        <v>1.050779061</v>
      </c>
      <c r="N72" s="63"/>
      <c r="O72" s="20"/>
      <c r="P72" s="19"/>
      <c r="AD72" s="26"/>
      <c r="AE72" s="26"/>
      <c r="AF72" s="26"/>
      <c r="AG72" s="26"/>
      <c r="AH72" s="26"/>
      <c r="AI72" s="26"/>
      <c r="AJ72" s="26"/>
    </row>
    <row r="73">
      <c r="A73" s="20" t="s">
        <v>15</v>
      </c>
      <c r="B73" s="7" t="s">
        <v>40</v>
      </c>
      <c r="C73" s="7">
        <v>6.0</v>
      </c>
      <c r="D73" s="21">
        <v>0.93</v>
      </c>
      <c r="E73" s="59">
        <v>2.36</v>
      </c>
      <c r="F73" s="7">
        <v>0.009</v>
      </c>
      <c r="G73" s="23">
        <v>314.693754954999</v>
      </c>
      <c r="H73" s="24">
        <f t="shared" si="10"/>
        <v>0.2754</v>
      </c>
      <c r="I73" s="25">
        <f t="shared" si="11"/>
        <v>0</v>
      </c>
      <c r="J73" s="24">
        <f t="shared" si="12"/>
        <v>0.002163003727</v>
      </c>
      <c r="K73" s="24">
        <f t="shared" si="13"/>
        <v>0.9137944592</v>
      </c>
      <c r="L73" s="24">
        <f t="shared" si="5"/>
        <v>1.002163004</v>
      </c>
      <c r="N73" s="63"/>
      <c r="O73" s="20"/>
      <c r="P73" s="19"/>
      <c r="AD73" s="26"/>
      <c r="AE73" s="26"/>
      <c r="AF73" s="26"/>
      <c r="AG73" s="26"/>
      <c r="AH73" s="26"/>
      <c r="AI73" s="26"/>
      <c r="AJ73" s="26"/>
    </row>
    <row r="74">
      <c r="A74" s="20" t="s">
        <v>15</v>
      </c>
      <c r="B74" s="7" t="s">
        <v>40</v>
      </c>
      <c r="C74" s="7">
        <v>7.0</v>
      </c>
      <c r="D74" s="21">
        <v>0.93</v>
      </c>
      <c r="E74" s="59">
        <v>3.76</v>
      </c>
      <c r="F74" s="7">
        <v>0.014</v>
      </c>
      <c r="G74" s="23">
        <v>501.633459766</v>
      </c>
      <c r="H74" s="24">
        <f t="shared" si="10"/>
        <v>0.4284</v>
      </c>
      <c r="I74" s="25">
        <f t="shared" si="11"/>
        <v>0.625</v>
      </c>
      <c r="J74" s="24">
        <f t="shared" si="12"/>
        <v>0.6536262733</v>
      </c>
      <c r="K74" s="24">
        <f t="shared" si="13"/>
        <v>0.3407973093</v>
      </c>
      <c r="L74" s="24">
        <f t="shared" si="5"/>
        <v>1.017616168</v>
      </c>
      <c r="N74" s="20"/>
      <c r="V74" s="67"/>
      <c r="W74" s="20"/>
      <c r="X74" s="19"/>
      <c r="AD74" s="26"/>
      <c r="AE74" s="26"/>
      <c r="AF74" s="26"/>
      <c r="AG74" s="26"/>
      <c r="AH74" s="26"/>
      <c r="AI74" s="26"/>
      <c r="AJ74" s="26"/>
    </row>
    <row r="75">
      <c r="A75" s="20" t="s">
        <v>15</v>
      </c>
      <c r="B75" s="7" t="s">
        <v>40</v>
      </c>
      <c r="C75" s="7">
        <v>8.0</v>
      </c>
      <c r="D75" s="21">
        <v>0.93</v>
      </c>
      <c r="E75" s="59">
        <v>3.16</v>
      </c>
      <c r="F75" s="7">
        <v>0.012</v>
      </c>
      <c r="G75" s="23">
        <v>428.288519041999</v>
      </c>
      <c r="H75" s="24">
        <f t="shared" si="10"/>
        <v>0.3672</v>
      </c>
      <c r="I75" s="25">
        <f t="shared" si="11"/>
        <v>0.375</v>
      </c>
      <c r="J75" s="24">
        <f t="shared" si="12"/>
        <v>0.3980276302</v>
      </c>
      <c r="K75" s="24">
        <f t="shared" si="13"/>
        <v>0.4763963589</v>
      </c>
      <c r="L75" s="24">
        <f t="shared" si="5"/>
        <v>1.016747367</v>
      </c>
      <c r="N75" s="20"/>
      <c r="V75" s="67"/>
      <c r="W75" s="20"/>
      <c r="X75" s="19"/>
      <c r="AD75" s="26"/>
      <c r="AE75" s="26"/>
      <c r="AF75" s="26"/>
      <c r="AG75" s="26"/>
      <c r="AH75" s="26"/>
      <c r="AI75" s="26"/>
      <c r="AJ75" s="26"/>
    </row>
    <row r="76">
      <c r="A76" s="20" t="s">
        <v>15</v>
      </c>
      <c r="B76" s="7" t="s">
        <v>40</v>
      </c>
      <c r="C76" s="7">
        <v>9.0</v>
      </c>
      <c r="D76" s="21">
        <v>0.93</v>
      </c>
      <c r="E76" s="59">
        <v>2.47</v>
      </c>
      <c r="F76" s="7">
        <v>0.009</v>
      </c>
      <c r="G76" s="23">
        <v>337.189537919</v>
      </c>
      <c r="H76" s="24">
        <f t="shared" si="10"/>
        <v>0.2754</v>
      </c>
      <c r="I76" s="25">
        <f t="shared" si="11"/>
        <v>0</v>
      </c>
      <c r="J76" s="24">
        <f t="shared" si="12"/>
        <v>0.08055820788</v>
      </c>
      <c r="K76" s="24">
        <f t="shared" si="13"/>
        <v>0.847498074</v>
      </c>
      <c r="L76" s="24">
        <f t="shared" si="5"/>
        <v>1.080558208</v>
      </c>
      <c r="N76" s="68" t="s">
        <v>42</v>
      </c>
      <c r="O76" s="69" t="s">
        <v>43</v>
      </c>
      <c r="P76" s="70" t="s">
        <v>44</v>
      </c>
      <c r="Q76" s="70" t="s">
        <v>45</v>
      </c>
      <c r="R76" s="70" t="s">
        <v>46</v>
      </c>
      <c r="S76" s="68" t="s">
        <v>47</v>
      </c>
      <c r="T76" s="68" t="s">
        <v>48</v>
      </c>
      <c r="U76" s="68" t="s">
        <v>49</v>
      </c>
      <c r="V76" s="68"/>
      <c r="W76" s="68" t="s">
        <v>50</v>
      </c>
      <c r="X76" s="68" t="s">
        <v>51</v>
      </c>
      <c r="Y76" s="68" t="s">
        <v>52</v>
      </c>
      <c r="Z76" s="68" t="s">
        <v>53</v>
      </c>
      <c r="AD76" s="26"/>
      <c r="AE76" s="26"/>
      <c r="AF76" s="26"/>
      <c r="AG76" s="26"/>
      <c r="AH76" s="26"/>
      <c r="AI76" s="26"/>
      <c r="AJ76" s="26"/>
    </row>
    <row r="77">
      <c r="A77" s="20" t="s">
        <v>15</v>
      </c>
      <c r="B77" s="7" t="s">
        <v>40</v>
      </c>
      <c r="C77" s="7">
        <v>10.0</v>
      </c>
      <c r="D77" s="21">
        <v>0.93</v>
      </c>
      <c r="E77" s="59">
        <v>2.48</v>
      </c>
      <c r="F77" s="7">
        <v>0.009</v>
      </c>
      <c r="G77" s="23">
        <v>341.729138794</v>
      </c>
      <c r="H77" s="24">
        <f t="shared" si="10"/>
        <v>0.2754</v>
      </c>
      <c r="I77" s="25">
        <f t="shared" si="11"/>
        <v>0</v>
      </c>
      <c r="J77" s="24">
        <f t="shared" si="12"/>
        <v>0.09637819236</v>
      </c>
      <c r="K77" s="24">
        <f t="shared" si="13"/>
        <v>0.8352692587</v>
      </c>
      <c r="L77" s="24">
        <f t="shared" si="5"/>
        <v>1.096378192</v>
      </c>
      <c r="N77" s="20" t="s">
        <v>15</v>
      </c>
      <c r="O77" s="71" t="s">
        <v>21</v>
      </c>
      <c r="P77" s="72">
        <f t="shared" ref="P77:P96" si="14">((1+POWER(0.01,2))*Z77*Y77)/(POWER(0.01,2)*Z77+Y77)</f>
        <v>0.8800131995</v>
      </c>
      <c r="Q77" s="72">
        <f t="shared" ref="Q77:Q96" si="15">((1+POWER(10,2))*Z77*Y77)/(POWER(10,2)*Z77+Y77)</f>
        <v>1.033497375</v>
      </c>
      <c r="R77" s="72">
        <f t="shared" ref="R77:R96" si="16">((1+POWER(1,2))*Z77*Y77)/(POWER(1,2)*Z77+Y77)</f>
        <v>0.9513552039</v>
      </c>
      <c r="S77" s="73">
        <f t="shared" ref="S77:S96" si="17">((1+POWER(0.6,2))*Z77*Y77)/(POWER(0.6,2)*Z77+Y77)</f>
        <v>0.9163878036</v>
      </c>
      <c r="T77" s="73">
        <f t="shared" ref="T77:T96" si="18">((1+POWER(0.9,2))*Z77*Y77)/(POWER(0.9,2)*Z77+Y77)</f>
        <v>0.9433258658</v>
      </c>
      <c r="U77" s="73">
        <f t="shared" ref="U77:U96" si="19">((1+POWER(1.2,2))*Z77*Y77)/(POWER(1.2,2)*Z77+Y77)</f>
        <v>0.9654723092</v>
      </c>
      <c r="V77" s="73"/>
      <c r="W77" s="73">
        <f t="shared" ref="W77:W96" si="20">((1+Power(1.5,2))*Z77*Y77)/(POWER(1.5,2)*Z77+Y77)</f>
        <v>0.9819799322</v>
      </c>
      <c r="X77" s="73">
        <f t="shared" ref="X77:X96" si="21">((1+POWER(1.8,2))*Z77*Y77)/(POWER(1.8,2)*Z77+Y77)</f>
        <v>0.9939329051</v>
      </c>
      <c r="Y77" s="38">
        <f>AVERAGE(L2,L34)</f>
        <v>1.035303243</v>
      </c>
      <c r="Z77" s="74">
        <v>0.88</v>
      </c>
      <c r="AD77" s="26"/>
      <c r="AE77" s="26"/>
      <c r="AF77" s="26"/>
      <c r="AG77" s="26"/>
      <c r="AH77" s="26"/>
      <c r="AI77" s="26"/>
      <c r="AJ77" s="26"/>
    </row>
    <row r="78">
      <c r="A78" s="20" t="s">
        <v>15</v>
      </c>
      <c r="B78" s="7" t="s">
        <v>40</v>
      </c>
      <c r="C78" s="7">
        <v>11.0</v>
      </c>
      <c r="D78" s="21">
        <v>0.93</v>
      </c>
      <c r="E78" s="59">
        <v>3.11</v>
      </c>
      <c r="F78" s="7">
        <v>0.012</v>
      </c>
      <c r="G78" s="23">
        <v>424.044991122999</v>
      </c>
      <c r="H78" s="24">
        <f t="shared" si="10"/>
        <v>0.3672</v>
      </c>
      <c r="I78" s="25">
        <f t="shared" si="11"/>
        <v>0.375</v>
      </c>
      <c r="J78" s="24">
        <f t="shared" si="12"/>
        <v>0.3832394258</v>
      </c>
      <c r="K78" s="24">
        <f t="shared" si="13"/>
        <v>0.4814895096</v>
      </c>
      <c r="L78" s="24">
        <f t="shared" si="5"/>
        <v>1.00599231</v>
      </c>
      <c r="N78" s="20" t="s">
        <v>15</v>
      </c>
      <c r="O78" s="71" t="s">
        <v>23</v>
      </c>
      <c r="P78" s="75">
        <f t="shared" si="14"/>
        <v>0.9300048253</v>
      </c>
      <c r="Q78" s="75">
        <f t="shared" si="15"/>
        <v>0.9803670785</v>
      </c>
      <c r="R78" s="75">
        <f t="shared" si="16"/>
        <v>0.9547712986</v>
      </c>
      <c r="S78" s="76">
        <f t="shared" si="17"/>
        <v>0.9429518717</v>
      </c>
      <c r="T78" s="76">
        <f t="shared" si="18"/>
        <v>0.9521091788</v>
      </c>
      <c r="U78" s="76">
        <f t="shared" si="19"/>
        <v>0.9593793685</v>
      </c>
      <c r="V78" s="76"/>
      <c r="W78" s="76">
        <f t="shared" si="20"/>
        <v>0.9646537328</v>
      </c>
      <c r="X78" s="76">
        <f t="shared" si="21"/>
        <v>0.9683983543</v>
      </c>
      <c r="Y78" s="38">
        <f>AVERAGE(L35,L67)</f>
        <v>0.9808983149</v>
      </c>
      <c r="Z78" s="74">
        <v>0.93</v>
      </c>
      <c r="AD78" s="26"/>
      <c r="AE78" s="26"/>
      <c r="AF78" s="26"/>
      <c r="AG78" s="26"/>
      <c r="AH78" s="26"/>
      <c r="AI78" s="26"/>
      <c r="AJ78" s="26"/>
    </row>
    <row r="79">
      <c r="A79" s="20" t="s">
        <v>15</v>
      </c>
      <c r="B79" s="7" t="s">
        <v>40</v>
      </c>
      <c r="C79" s="7">
        <v>12.0</v>
      </c>
      <c r="D79" s="21">
        <v>0.93</v>
      </c>
      <c r="E79" s="59">
        <v>3.31</v>
      </c>
      <c r="F79" s="7">
        <v>0.012</v>
      </c>
      <c r="G79" s="23">
        <v>447.723841199</v>
      </c>
      <c r="H79" s="24">
        <f t="shared" si="10"/>
        <v>0.3672</v>
      </c>
      <c r="I79" s="25">
        <f t="shared" si="11"/>
        <v>0.375</v>
      </c>
      <c r="J79" s="24">
        <f t="shared" si="12"/>
        <v>0.4657574821</v>
      </c>
      <c r="K79" s="24">
        <f t="shared" si="13"/>
        <v>0.4543829937</v>
      </c>
      <c r="L79" s="24">
        <f t="shared" si="5"/>
        <v>1.066005442</v>
      </c>
      <c r="N79" s="20" t="s">
        <v>15</v>
      </c>
      <c r="O79" s="71" t="s">
        <v>24</v>
      </c>
      <c r="P79" s="75">
        <f t="shared" si="14"/>
        <v>0.9300113006</v>
      </c>
      <c r="Q79" s="75">
        <f t="shared" si="15"/>
        <v>1.057201443</v>
      </c>
      <c r="R79" s="75">
        <f t="shared" si="16"/>
        <v>0.9901634246</v>
      </c>
      <c r="S79" s="76">
        <f t="shared" si="17"/>
        <v>0.9609102181</v>
      </c>
      <c r="T79" s="76">
        <f t="shared" si="18"/>
        <v>0.9834847199</v>
      </c>
      <c r="U79" s="76">
        <f t="shared" si="19"/>
        <v>1.001850759</v>
      </c>
      <c r="V79" s="76"/>
      <c r="W79" s="76">
        <f t="shared" si="20"/>
        <v>1.015428798</v>
      </c>
      <c r="X79" s="76">
        <f t="shared" si="21"/>
        <v>1.025201563</v>
      </c>
      <c r="Y79" s="38">
        <f>AVERAGE(L68,L100)</f>
        <v>1.058649419</v>
      </c>
      <c r="Z79" s="74">
        <v>0.93</v>
      </c>
      <c r="AD79" s="26"/>
      <c r="AE79" s="26"/>
      <c r="AF79" s="26"/>
      <c r="AG79" s="26"/>
      <c r="AH79" s="26"/>
      <c r="AI79" s="26"/>
      <c r="AJ79" s="26"/>
    </row>
    <row r="80">
      <c r="A80" s="20" t="s">
        <v>15</v>
      </c>
      <c r="B80" s="7" t="s">
        <v>40</v>
      </c>
      <c r="C80" s="7">
        <v>13.0</v>
      </c>
      <c r="D80" s="21">
        <v>0.93</v>
      </c>
      <c r="E80" s="59">
        <v>2.63</v>
      </c>
      <c r="F80" s="7">
        <v>0.01</v>
      </c>
      <c r="G80" s="23">
        <v>357.71773159</v>
      </c>
      <c r="H80" s="24">
        <f t="shared" si="10"/>
        <v>0.306</v>
      </c>
      <c r="I80" s="25">
        <f t="shared" si="11"/>
        <v>0.125</v>
      </c>
      <c r="J80" s="24">
        <f t="shared" si="12"/>
        <v>0.1520965907</v>
      </c>
      <c r="K80" s="24">
        <f t="shared" si="13"/>
        <v>0.7065541841</v>
      </c>
      <c r="L80" s="24">
        <f t="shared" si="5"/>
        <v>1.024085858</v>
      </c>
      <c r="N80" s="20" t="s">
        <v>15</v>
      </c>
      <c r="O80" s="71" t="s">
        <v>25</v>
      </c>
      <c r="P80" s="75">
        <f t="shared" si="14"/>
        <v>0.9700087973</v>
      </c>
      <c r="Q80" s="75">
        <f t="shared" si="15"/>
        <v>1.065704186</v>
      </c>
      <c r="R80" s="75">
        <f t="shared" si="16"/>
        <v>1.016080119</v>
      </c>
      <c r="S80" s="76">
        <f t="shared" si="17"/>
        <v>0.9938619141</v>
      </c>
      <c r="T80" s="76">
        <f t="shared" si="18"/>
        <v>1.011038332</v>
      </c>
      <c r="U80" s="76">
        <f t="shared" si="19"/>
        <v>1.024859605</v>
      </c>
      <c r="V80" s="76"/>
      <c r="W80" s="76">
        <f t="shared" si="20"/>
        <v>1.034990704</v>
      </c>
      <c r="X80" s="76">
        <f t="shared" si="21"/>
        <v>1.042237282</v>
      </c>
      <c r="Y80" s="38">
        <f>AVERAGE(L101,L133)</f>
        <v>1.066756692</v>
      </c>
      <c r="Z80" s="74">
        <v>0.97</v>
      </c>
      <c r="AD80" s="26"/>
      <c r="AE80" s="26"/>
      <c r="AF80" s="26"/>
      <c r="AG80" s="26"/>
      <c r="AH80" s="26"/>
      <c r="AI80" s="26"/>
      <c r="AJ80" s="26"/>
    </row>
    <row r="81">
      <c r="A81" s="20" t="s">
        <v>15</v>
      </c>
      <c r="B81" s="7" t="s">
        <v>40</v>
      </c>
      <c r="C81" s="7">
        <v>14.0</v>
      </c>
      <c r="D81" s="21">
        <v>0.93</v>
      </c>
      <c r="E81" s="59">
        <v>2.72</v>
      </c>
      <c r="F81" s="7">
        <v>0.01</v>
      </c>
      <c r="G81" s="23">
        <v>367.909015022</v>
      </c>
      <c r="H81" s="24">
        <f t="shared" si="10"/>
        <v>0.306</v>
      </c>
      <c r="I81" s="25">
        <f t="shared" si="11"/>
        <v>0.125</v>
      </c>
      <c r="J81" s="24">
        <f t="shared" si="12"/>
        <v>0.1876120358</v>
      </c>
      <c r="K81" s="24">
        <f t="shared" si="13"/>
        <v>0.6854247365</v>
      </c>
      <c r="L81" s="24">
        <f t="shared" si="5"/>
        <v>1.055655143</v>
      </c>
      <c r="N81" s="20" t="s">
        <v>16</v>
      </c>
      <c r="O81" s="71" t="s">
        <v>21</v>
      </c>
      <c r="P81" s="72">
        <f t="shared" si="14"/>
        <v>0.8500148841</v>
      </c>
      <c r="Q81" s="72">
        <f t="shared" si="15"/>
        <v>1.028293392</v>
      </c>
      <c r="R81" s="72">
        <f t="shared" si="16"/>
        <v>0.9315688912</v>
      </c>
      <c r="S81" s="73">
        <f t="shared" si="17"/>
        <v>0.8913176564</v>
      </c>
      <c r="T81" s="73">
        <f t="shared" si="18"/>
        <v>0.9222783149</v>
      </c>
      <c r="U81" s="73">
        <f t="shared" si="19"/>
        <v>0.947973454</v>
      </c>
      <c r="V81" s="73"/>
      <c r="W81" s="73">
        <f t="shared" si="20"/>
        <v>0.9672698548</v>
      </c>
      <c r="X81" s="73">
        <f t="shared" si="21"/>
        <v>0.9813194788</v>
      </c>
      <c r="Y81" s="38">
        <f>AVERAGE(L134,L166)</f>
        <v>1.030454843</v>
      </c>
      <c r="Z81" s="74">
        <v>0.85</v>
      </c>
      <c r="AD81" s="26"/>
      <c r="AE81" s="26"/>
      <c r="AF81" s="26"/>
      <c r="AG81" s="26"/>
      <c r="AH81" s="26"/>
      <c r="AI81" s="26"/>
      <c r="AJ81" s="26"/>
    </row>
    <row r="82">
      <c r="A82" s="20" t="s">
        <v>15</v>
      </c>
      <c r="B82" s="7" t="s">
        <v>40</v>
      </c>
      <c r="C82" s="7">
        <v>15.0</v>
      </c>
      <c r="D82" s="21">
        <v>0.93</v>
      </c>
      <c r="E82" s="59">
        <v>2.94</v>
      </c>
      <c r="F82" s="7">
        <v>0.011</v>
      </c>
      <c r="G82" s="23">
        <v>396.826738935</v>
      </c>
      <c r="H82" s="24">
        <f t="shared" si="10"/>
        <v>0.3366</v>
      </c>
      <c r="I82" s="25">
        <f t="shared" si="11"/>
        <v>0.25</v>
      </c>
      <c r="J82" s="24">
        <f t="shared" si="12"/>
        <v>0.2883869621</v>
      </c>
      <c r="K82" s="24">
        <f t="shared" si="13"/>
        <v>0.5686310259</v>
      </c>
      <c r="L82" s="24">
        <f t="shared" si="5"/>
        <v>1.03070957</v>
      </c>
      <c r="N82" s="20" t="s">
        <v>16</v>
      </c>
      <c r="O82" s="71" t="s">
        <v>23</v>
      </c>
      <c r="P82" s="75">
        <f t="shared" si="14"/>
        <v>0.8800118028</v>
      </c>
      <c r="Q82" s="75">
        <f t="shared" si="15"/>
        <v>1.014767702</v>
      </c>
      <c r="R82" s="75">
        <f t="shared" si="16"/>
        <v>0.9432619977</v>
      </c>
      <c r="S82" s="76">
        <f t="shared" si="17"/>
        <v>0.9123957011</v>
      </c>
      <c r="T82" s="76">
        <f t="shared" si="18"/>
        <v>0.9361971538</v>
      </c>
      <c r="U82" s="76">
        <f t="shared" si="19"/>
        <v>0.9556505973</v>
      </c>
      <c r="V82" s="76"/>
      <c r="W82" s="76">
        <f t="shared" si="20"/>
        <v>0.9700843194</v>
      </c>
      <c r="X82" s="76">
        <f t="shared" si="21"/>
        <v>0.9805003222</v>
      </c>
      <c r="Y82" s="38">
        <f>AVERAGE(L167,L199)</f>
        <v>1.016324152</v>
      </c>
      <c r="Z82" s="74">
        <v>0.88</v>
      </c>
      <c r="AD82" s="26"/>
      <c r="AE82" s="26"/>
      <c r="AF82" s="26"/>
      <c r="AG82" s="26"/>
      <c r="AH82" s="26"/>
      <c r="AI82" s="26"/>
      <c r="AJ82" s="26"/>
    </row>
    <row r="83">
      <c r="A83" s="20" t="s">
        <v>15</v>
      </c>
      <c r="B83" s="7" t="s">
        <v>40</v>
      </c>
      <c r="C83" s="7">
        <v>16.0</v>
      </c>
      <c r="D83" s="21">
        <v>0.93</v>
      </c>
      <c r="E83" s="59">
        <v>2.61</v>
      </c>
      <c r="F83" s="7">
        <v>0.01</v>
      </c>
      <c r="G83" s="23">
        <v>352.768045914</v>
      </c>
      <c r="H83" s="24">
        <f t="shared" si="10"/>
        <v>0.306</v>
      </c>
      <c r="I83" s="25">
        <f t="shared" si="11"/>
        <v>0.125</v>
      </c>
      <c r="J83" s="24">
        <f t="shared" si="12"/>
        <v>0.1348475081</v>
      </c>
      <c r="K83" s="24">
        <f t="shared" si="13"/>
        <v>0.7172934345</v>
      </c>
      <c r="L83" s="24">
        <f t="shared" si="5"/>
        <v>1.008753341</v>
      </c>
      <c r="N83" s="20" t="s">
        <v>16</v>
      </c>
      <c r="O83" s="71" t="s">
        <v>24</v>
      </c>
      <c r="P83" s="75">
        <f t="shared" si="14"/>
        <v>0.8900102332</v>
      </c>
      <c r="Q83" s="75">
        <f t="shared" si="15"/>
        <v>1.004346359</v>
      </c>
      <c r="R83" s="75">
        <f t="shared" si="16"/>
        <v>0.9442920901</v>
      </c>
      <c r="S83" s="76">
        <f t="shared" si="17"/>
        <v>0.9179407757</v>
      </c>
      <c r="T83" s="76">
        <f t="shared" si="18"/>
        <v>0.9382837326</v>
      </c>
      <c r="U83" s="76">
        <f t="shared" si="19"/>
        <v>0.9547952421</v>
      </c>
      <c r="V83" s="76"/>
      <c r="W83" s="76">
        <f t="shared" si="20"/>
        <v>0.9669797972</v>
      </c>
      <c r="X83" s="76">
        <f t="shared" si="21"/>
        <v>0.9757378331</v>
      </c>
      <c r="Y83" s="38">
        <f>AVERAGE(L200,L232)</f>
        <v>1.005638394</v>
      </c>
      <c r="Z83" s="74">
        <v>0.89</v>
      </c>
      <c r="AD83" s="26"/>
      <c r="AE83" s="26"/>
      <c r="AF83" s="26"/>
      <c r="AG83" s="26"/>
      <c r="AH83" s="26"/>
      <c r="AI83" s="26"/>
      <c r="AJ83" s="26"/>
    </row>
    <row r="84">
      <c r="A84" s="20" t="s">
        <v>15</v>
      </c>
      <c r="B84" s="7" t="s">
        <v>40</v>
      </c>
      <c r="C84" s="7">
        <v>17.0</v>
      </c>
      <c r="D84" s="21">
        <v>0.93</v>
      </c>
      <c r="E84" s="59">
        <v>2.82</v>
      </c>
      <c r="F84" s="7">
        <v>0.011</v>
      </c>
      <c r="G84" s="23">
        <v>378.690856076999</v>
      </c>
      <c r="H84" s="24">
        <f t="shared" si="10"/>
        <v>0.3366</v>
      </c>
      <c r="I84" s="25">
        <f t="shared" si="11"/>
        <v>0.25</v>
      </c>
      <c r="J84" s="24">
        <f t="shared" si="12"/>
        <v>0.225185506</v>
      </c>
      <c r="K84" s="24">
        <f t="shared" si="13"/>
        <v>0.5979639788</v>
      </c>
      <c r="L84" s="24">
        <f t="shared" si="5"/>
        <v>0.9801484048</v>
      </c>
      <c r="N84" s="20" t="s">
        <v>16</v>
      </c>
      <c r="O84" s="71" t="s">
        <v>25</v>
      </c>
      <c r="P84" s="75">
        <f t="shared" si="14"/>
        <v>0.9300110383</v>
      </c>
      <c r="Q84" s="75">
        <f t="shared" si="15"/>
        <v>1.053855611</v>
      </c>
      <c r="R84" s="75">
        <f t="shared" si="16"/>
        <v>0.9886787928</v>
      </c>
      <c r="S84" s="76">
        <f t="shared" si="17"/>
        <v>0.9601694522</v>
      </c>
      <c r="T84" s="76">
        <f t="shared" si="18"/>
        <v>0.9821735802</v>
      </c>
      <c r="U84" s="76">
        <f t="shared" si="19"/>
        <v>1.000057318</v>
      </c>
      <c r="V84" s="76"/>
      <c r="W84" s="76">
        <f t="shared" si="20"/>
        <v>1.013268271</v>
      </c>
      <c r="X84" s="76">
        <f t="shared" si="21"/>
        <v>1.022771298</v>
      </c>
      <c r="Y84" s="38">
        <f>AVERAGE(L233,L265)</f>
        <v>1.055260987</v>
      </c>
      <c r="Z84" s="74">
        <v>0.93</v>
      </c>
      <c r="AD84" s="26"/>
      <c r="AE84" s="26"/>
      <c r="AF84" s="26"/>
      <c r="AG84" s="26"/>
      <c r="AH84" s="26"/>
      <c r="AI84" s="26"/>
      <c r="AJ84" s="26"/>
    </row>
    <row r="85">
      <c r="A85" s="20" t="s">
        <v>15</v>
      </c>
      <c r="B85" s="7" t="s">
        <v>40</v>
      </c>
      <c r="C85" s="7">
        <v>18.0</v>
      </c>
      <c r="D85" s="21">
        <v>0.93</v>
      </c>
      <c r="E85" s="59">
        <v>2.88</v>
      </c>
      <c r="F85" s="7">
        <v>0.011</v>
      </c>
      <c r="G85" s="23">
        <v>391.008994047999</v>
      </c>
      <c r="H85" s="24">
        <f t="shared" si="10"/>
        <v>0.3366</v>
      </c>
      <c r="I85" s="25">
        <f t="shared" si="11"/>
        <v>0.25</v>
      </c>
      <c r="J85" s="24">
        <f t="shared" si="12"/>
        <v>0.2681127934</v>
      </c>
      <c r="K85" s="24">
        <f t="shared" si="13"/>
        <v>0.577722111</v>
      </c>
      <c r="L85" s="24">
        <f t="shared" si="5"/>
        <v>1.014490235</v>
      </c>
      <c r="N85" s="7" t="s">
        <v>17</v>
      </c>
      <c r="O85" s="71" t="s">
        <v>21</v>
      </c>
      <c r="P85" s="72">
        <f t="shared" si="14"/>
        <v>0.8100140097</v>
      </c>
      <c r="Q85" s="72">
        <f t="shared" si="15"/>
        <v>0.977388297</v>
      </c>
      <c r="R85" s="72">
        <f t="shared" si="16"/>
        <v>0.8866865993</v>
      </c>
      <c r="S85" s="73">
        <f t="shared" si="17"/>
        <v>0.8488671456</v>
      </c>
      <c r="T85" s="73">
        <f t="shared" si="18"/>
        <v>0.87796121</v>
      </c>
      <c r="U85" s="73">
        <f t="shared" si="19"/>
        <v>0.9020874948</v>
      </c>
      <c r="V85" s="73"/>
      <c r="W85" s="73">
        <f t="shared" si="20"/>
        <v>0.9201939816</v>
      </c>
      <c r="X85" s="73">
        <f t="shared" si="21"/>
        <v>0.9333709024</v>
      </c>
      <c r="Y85" s="38">
        <f>AVERAGE(L266,L298)</f>
        <v>0.9794122742</v>
      </c>
      <c r="Z85" s="74">
        <v>0.81</v>
      </c>
      <c r="AD85" s="26"/>
      <c r="AE85" s="26"/>
      <c r="AF85" s="26"/>
      <c r="AG85" s="26"/>
      <c r="AH85" s="26"/>
      <c r="AI85" s="26"/>
      <c r="AJ85" s="26"/>
    </row>
    <row r="86">
      <c r="A86" s="20" t="s">
        <v>15</v>
      </c>
      <c r="B86" s="7" t="s">
        <v>40</v>
      </c>
      <c r="C86" s="7">
        <v>19.0</v>
      </c>
      <c r="D86" s="21">
        <v>0.93</v>
      </c>
      <c r="E86" s="59">
        <v>3.45</v>
      </c>
      <c r="F86" s="7">
        <v>0.013</v>
      </c>
      <c r="G86" s="23">
        <v>461.530644914</v>
      </c>
      <c r="H86" s="24">
        <f t="shared" si="10"/>
        <v>0.3978</v>
      </c>
      <c r="I86" s="25">
        <f t="shared" si="11"/>
        <v>0.5</v>
      </c>
      <c r="J86" s="24">
        <f t="shared" si="12"/>
        <v>0.5138725976</v>
      </c>
      <c r="K86" s="24">
        <f t="shared" si="13"/>
        <v>0.4032796425</v>
      </c>
      <c r="L86" s="24">
        <f t="shared" si="5"/>
        <v>1.009248398</v>
      </c>
      <c r="N86" s="7" t="s">
        <v>17</v>
      </c>
      <c r="O86" s="71" t="s">
        <v>23</v>
      </c>
      <c r="P86" s="75">
        <f t="shared" si="14"/>
        <v>0.8600159655</v>
      </c>
      <c r="Q86" s="75">
        <f t="shared" si="15"/>
        <v>1.053692217</v>
      </c>
      <c r="R86" s="75">
        <f t="shared" si="16"/>
        <v>0.9480034491</v>
      </c>
      <c r="S86" s="76">
        <f t="shared" si="17"/>
        <v>0.9044495869</v>
      </c>
      <c r="T86" s="76">
        <f t="shared" si="18"/>
        <v>0.9379284279</v>
      </c>
      <c r="U86" s="76">
        <f t="shared" si="19"/>
        <v>0.9658257124</v>
      </c>
      <c r="V86" s="76"/>
      <c r="W86" s="76">
        <f t="shared" si="20"/>
        <v>0.9868431638</v>
      </c>
      <c r="X86" s="76">
        <f t="shared" si="21"/>
        <v>1.002182345</v>
      </c>
      <c r="Y86" s="38">
        <f>AVERAGE(L299,L331)</f>
        <v>1.056070737</v>
      </c>
      <c r="Z86" s="74">
        <v>0.86</v>
      </c>
      <c r="AD86" s="26"/>
      <c r="AE86" s="26"/>
      <c r="AF86" s="26"/>
      <c r="AG86" s="26"/>
      <c r="AH86" s="26"/>
      <c r="AI86" s="26"/>
      <c r="AJ86" s="26"/>
    </row>
    <row r="87">
      <c r="A87" s="20" t="s">
        <v>15</v>
      </c>
      <c r="B87" s="7" t="s">
        <v>40</v>
      </c>
      <c r="C87" s="7">
        <v>20.0</v>
      </c>
      <c r="D87" s="21">
        <v>0.93</v>
      </c>
      <c r="E87" s="59">
        <v>2.61</v>
      </c>
      <c r="F87" s="7">
        <v>0.01</v>
      </c>
      <c r="G87" s="23">
        <v>355.106933717999</v>
      </c>
      <c r="H87" s="24">
        <f t="shared" si="10"/>
        <v>0.306</v>
      </c>
      <c r="I87" s="25">
        <f t="shared" si="11"/>
        <v>0.125</v>
      </c>
      <c r="J87" s="24">
        <f t="shared" si="12"/>
        <v>0.1429982618</v>
      </c>
      <c r="K87" s="24">
        <f t="shared" si="13"/>
        <v>0.7121783942</v>
      </c>
      <c r="L87" s="24">
        <f t="shared" si="5"/>
        <v>1.015998455</v>
      </c>
      <c r="N87" s="7" t="s">
        <v>17</v>
      </c>
      <c r="O87" s="71" t="s">
        <v>24</v>
      </c>
      <c r="P87" s="75">
        <f t="shared" si="14"/>
        <v>0.8700109249</v>
      </c>
      <c r="Q87" s="75">
        <f t="shared" si="15"/>
        <v>0.9935380345</v>
      </c>
      <c r="R87" s="75">
        <f t="shared" si="16"/>
        <v>0.9282895968</v>
      </c>
      <c r="S87" s="76">
        <f t="shared" si="17"/>
        <v>0.8999159719</v>
      </c>
      <c r="T87" s="76">
        <f t="shared" si="18"/>
        <v>0.9218064395</v>
      </c>
      <c r="U87" s="76">
        <f t="shared" si="19"/>
        <v>0.9396422451</v>
      </c>
      <c r="V87" s="76"/>
      <c r="W87" s="76">
        <f t="shared" si="20"/>
        <v>0.9528434703</v>
      </c>
      <c r="X87" s="76">
        <f t="shared" si="21"/>
        <v>0.9623530269</v>
      </c>
      <c r="Y87" s="38">
        <f>AVERAGE(L332,L364)</f>
        <v>0.9949508422</v>
      </c>
      <c r="Z87" s="74">
        <v>0.87</v>
      </c>
      <c r="AD87" s="26"/>
      <c r="AE87" s="26"/>
      <c r="AF87" s="26"/>
      <c r="AG87" s="26"/>
      <c r="AH87" s="26"/>
      <c r="AI87" s="26"/>
      <c r="AJ87" s="26"/>
    </row>
    <row r="88">
      <c r="A88" s="20" t="s">
        <v>15</v>
      </c>
      <c r="B88" s="7" t="s">
        <v>40</v>
      </c>
      <c r="C88" s="7">
        <v>21.0</v>
      </c>
      <c r="D88" s="21">
        <v>0.93</v>
      </c>
      <c r="E88" s="59">
        <v>3.93</v>
      </c>
      <c r="F88" s="7">
        <v>0.015</v>
      </c>
      <c r="G88" s="23">
        <v>529.590612625999</v>
      </c>
      <c r="H88" s="24">
        <f t="shared" si="10"/>
        <v>0.459</v>
      </c>
      <c r="I88" s="25">
        <f t="shared" si="11"/>
        <v>0.75</v>
      </c>
      <c r="J88" s="24">
        <f t="shared" si="12"/>
        <v>0.7510537205</v>
      </c>
      <c r="K88" s="24">
        <f t="shared" si="13"/>
        <v>0.2988473216</v>
      </c>
      <c r="L88" s="24">
        <f t="shared" si="5"/>
        <v>1.000602126</v>
      </c>
      <c r="N88" s="7" t="s">
        <v>17</v>
      </c>
      <c r="O88" s="71" t="s">
        <v>25</v>
      </c>
      <c r="P88" s="75">
        <f t="shared" si="14"/>
        <v>0.9300073691</v>
      </c>
      <c r="Q88" s="75">
        <f t="shared" si="15"/>
        <v>1.009180815</v>
      </c>
      <c r="R88" s="75">
        <f t="shared" si="16"/>
        <v>0.9683692536</v>
      </c>
      <c r="S88" s="76">
        <f t="shared" si="17"/>
        <v>0.9499262623</v>
      </c>
      <c r="T88" s="76">
        <f t="shared" si="18"/>
        <v>0.9641934544</v>
      </c>
      <c r="U88" s="76">
        <f t="shared" si="19"/>
        <v>0.9756277624</v>
      </c>
      <c r="V88" s="76"/>
      <c r="W88" s="76">
        <f t="shared" si="20"/>
        <v>0.9839832751</v>
      </c>
      <c r="X88" s="76">
        <f t="shared" si="21"/>
        <v>0.9899464121</v>
      </c>
      <c r="Y88" s="38">
        <f>AVERAGE(L365,L397)</f>
        <v>1.01004077</v>
      </c>
      <c r="Z88" s="74">
        <v>0.93</v>
      </c>
    </row>
    <row r="89">
      <c r="A89" s="20" t="s">
        <v>15</v>
      </c>
      <c r="B89" s="7" t="s">
        <v>40</v>
      </c>
      <c r="C89" s="7">
        <v>22.0</v>
      </c>
      <c r="D89" s="21">
        <v>0.93</v>
      </c>
      <c r="E89" s="59">
        <v>3.0</v>
      </c>
      <c r="F89" s="7">
        <v>0.011</v>
      </c>
      <c r="G89" s="23">
        <v>397.095374062</v>
      </c>
      <c r="H89" s="24">
        <f t="shared" si="10"/>
        <v>0.3366</v>
      </c>
      <c r="I89" s="25">
        <f t="shared" si="11"/>
        <v>0.25</v>
      </c>
      <c r="J89" s="24">
        <f t="shared" si="12"/>
        <v>0.2893231245</v>
      </c>
      <c r="K89" s="24">
        <f t="shared" si="13"/>
        <v>0.5682181496</v>
      </c>
      <c r="L89" s="24">
        <f t="shared" si="5"/>
        <v>1.0314585</v>
      </c>
      <c r="N89" s="20" t="s">
        <v>18</v>
      </c>
      <c r="O89" s="71" t="s">
        <v>21</v>
      </c>
      <c r="P89" s="72">
        <f t="shared" si="14"/>
        <v>0.9300001683</v>
      </c>
      <c r="Q89" s="72">
        <f t="shared" si="15"/>
        <v>0.9316691311</v>
      </c>
      <c r="R89" s="72">
        <f t="shared" si="16"/>
        <v>0.930842163</v>
      </c>
      <c r="S89" s="73">
        <f t="shared" si="17"/>
        <v>0.9304456611</v>
      </c>
      <c r="T89" s="73">
        <f t="shared" si="18"/>
        <v>0.9307536875</v>
      </c>
      <c r="U89" s="73">
        <f t="shared" si="19"/>
        <v>0.9309941908</v>
      </c>
      <c r="V89" s="73"/>
      <c r="W89" s="73">
        <f t="shared" si="20"/>
        <v>0.9311664782</v>
      </c>
      <c r="X89" s="73">
        <f t="shared" si="21"/>
        <v>0.9312876954</v>
      </c>
      <c r="Y89" s="38">
        <f>AVERAGE(L398,L430)</f>
        <v>0.9316858527</v>
      </c>
      <c r="Z89" s="74">
        <v>0.93</v>
      </c>
    </row>
    <row r="90">
      <c r="A90" s="20" t="s">
        <v>15</v>
      </c>
      <c r="B90" s="7" t="s">
        <v>40</v>
      </c>
      <c r="C90" s="7">
        <v>23.0</v>
      </c>
      <c r="D90" s="21">
        <v>0.93</v>
      </c>
      <c r="E90" s="59">
        <v>2.66</v>
      </c>
      <c r="F90" s="7">
        <v>0.01</v>
      </c>
      <c r="G90" s="23">
        <v>361.349196713999</v>
      </c>
      <c r="H90" s="24">
        <f t="shared" si="10"/>
        <v>0.306</v>
      </c>
      <c r="I90" s="25">
        <f t="shared" si="11"/>
        <v>0.125</v>
      </c>
      <c r="J90" s="24">
        <f t="shared" si="12"/>
        <v>0.164751827</v>
      </c>
      <c r="K90" s="24">
        <f t="shared" si="13"/>
        <v>0.6988773469</v>
      </c>
      <c r="L90" s="24">
        <f t="shared" si="5"/>
        <v>1.035334957</v>
      </c>
      <c r="N90" s="20" t="s">
        <v>18</v>
      </c>
      <c r="O90" s="71" t="s">
        <v>23</v>
      </c>
      <c r="P90" s="75">
        <f t="shared" si="14"/>
        <v>0.9400098581</v>
      </c>
      <c r="Q90" s="75">
        <f t="shared" si="15"/>
        <v>1.048924985</v>
      </c>
      <c r="R90" s="75">
        <f t="shared" si="16"/>
        <v>0.9920231018</v>
      </c>
      <c r="S90" s="76">
        <f t="shared" si="17"/>
        <v>0.9668425519</v>
      </c>
      <c r="T90" s="76">
        <f t="shared" si="18"/>
        <v>0.9862931702</v>
      </c>
      <c r="U90" s="76">
        <f t="shared" si="19"/>
        <v>1.002023311</v>
      </c>
      <c r="V90" s="76"/>
      <c r="W90" s="76">
        <f t="shared" si="20"/>
        <v>1.013598611</v>
      </c>
      <c r="X90" s="76">
        <f t="shared" si="21"/>
        <v>1.021901661</v>
      </c>
      <c r="Y90" s="38">
        <f>AVERAGE(L431,L463)</f>
        <v>1.050141865</v>
      </c>
      <c r="Z90" s="74">
        <v>0.94</v>
      </c>
      <c r="AD90" s="61"/>
    </row>
    <row r="91">
      <c r="A91" s="20" t="s">
        <v>15</v>
      </c>
      <c r="B91" s="7" t="s">
        <v>40</v>
      </c>
      <c r="C91" s="7">
        <v>24.0</v>
      </c>
      <c r="D91" s="21">
        <v>0.93</v>
      </c>
      <c r="E91" s="59">
        <v>3.38</v>
      </c>
      <c r="F91" s="7">
        <v>0.013</v>
      </c>
      <c r="G91" s="23">
        <v>452.69872548</v>
      </c>
      <c r="H91" s="24">
        <f t="shared" si="10"/>
        <v>0.3978</v>
      </c>
      <c r="I91" s="25">
        <f t="shared" si="11"/>
        <v>0.5</v>
      </c>
      <c r="J91" s="24">
        <f t="shared" si="12"/>
        <v>0.483094379</v>
      </c>
      <c r="K91" s="24">
        <f t="shared" si="13"/>
        <v>0.4116487856</v>
      </c>
      <c r="L91" s="24">
        <f t="shared" si="5"/>
        <v>0.988729586</v>
      </c>
      <c r="N91" s="20" t="s">
        <v>18</v>
      </c>
      <c r="O91" s="71" t="s">
        <v>24</v>
      </c>
      <c r="P91" s="75">
        <f t="shared" si="14"/>
        <v>0.9400035526</v>
      </c>
      <c r="Q91" s="75">
        <f t="shared" si="15"/>
        <v>0.9765449199</v>
      </c>
      <c r="R91" s="75">
        <f t="shared" si="16"/>
        <v>0.9581067314</v>
      </c>
      <c r="S91" s="76">
        <f t="shared" si="17"/>
        <v>0.9494998038</v>
      </c>
      <c r="T91" s="76">
        <f t="shared" si="18"/>
        <v>0.9561733218</v>
      </c>
      <c r="U91" s="76">
        <f t="shared" si="19"/>
        <v>0.961446375</v>
      </c>
      <c r="V91" s="76"/>
      <c r="W91" s="76">
        <f t="shared" si="20"/>
        <v>0.9652579863</v>
      </c>
      <c r="X91" s="76">
        <f t="shared" si="21"/>
        <v>0.967957054</v>
      </c>
      <c r="Y91" s="38">
        <f>AVERAGE(L464,L496)</f>
        <v>0.9769247245</v>
      </c>
      <c r="Z91" s="74">
        <v>0.94</v>
      </c>
      <c r="AD91" s="6"/>
      <c r="AE91" s="26"/>
      <c r="AF91" s="55"/>
      <c r="AG91" s="55"/>
      <c r="AH91" s="55"/>
      <c r="AI91" s="55"/>
      <c r="AJ91" s="55"/>
    </row>
    <row r="92">
      <c r="A92" s="20" t="s">
        <v>15</v>
      </c>
      <c r="B92" s="7" t="s">
        <v>40</v>
      </c>
      <c r="C92" s="7">
        <v>25.0</v>
      </c>
      <c r="D92" s="21">
        <v>0.93</v>
      </c>
      <c r="E92" s="59">
        <v>4.58</v>
      </c>
      <c r="F92" s="7">
        <v>0.017</v>
      </c>
      <c r="G92" s="23">
        <v>601.026633924999</v>
      </c>
      <c r="H92" s="24">
        <f t="shared" si="10"/>
        <v>0.5202</v>
      </c>
      <c r="I92" s="25">
        <f t="shared" si="11"/>
        <v>1</v>
      </c>
      <c r="J92" s="24">
        <f t="shared" si="12"/>
        <v>1</v>
      </c>
      <c r="K92" s="24">
        <f t="shared" si="13"/>
        <v>0.22894275</v>
      </c>
      <c r="L92" s="24">
        <f t="shared" si="5"/>
        <v>1</v>
      </c>
      <c r="N92" s="20" t="s">
        <v>18</v>
      </c>
      <c r="O92" s="71" t="s">
        <v>25</v>
      </c>
      <c r="P92" s="75">
        <f t="shared" si="14"/>
        <v>0.9300072716</v>
      </c>
      <c r="Q92" s="75">
        <f t="shared" si="15"/>
        <v>1.008045286</v>
      </c>
      <c r="R92" s="75">
        <f t="shared" si="16"/>
        <v>0.9678409476</v>
      </c>
      <c r="S92" s="76">
        <f t="shared" si="17"/>
        <v>0.9496570525</v>
      </c>
      <c r="T92" s="76">
        <f t="shared" si="18"/>
        <v>0.9637246473</v>
      </c>
      <c r="U92" s="76">
        <f t="shared" si="19"/>
        <v>0.9749948702</v>
      </c>
      <c r="V92" s="76"/>
      <c r="W92" s="76">
        <f t="shared" si="20"/>
        <v>0.9832281624</v>
      </c>
      <c r="X92" s="76">
        <f t="shared" si="21"/>
        <v>0.9891028775</v>
      </c>
      <c r="Y92" s="38">
        <f>AVERAGE(L497,L529)</f>
        <v>1.008891945</v>
      </c>
      <c r="Z92" s="74">
        <v>0.93</v>
      </c>
      <c r="AD92" s="26"/>
      <c r="AE92" s="26"/>
      <c r="AF92" s="26"/>
      <c r="AG92" s="26"/>
      <c r="AH92" s="26"/>
      <c r="AI92" s="26"/>
      <c r="AJ92" s="26"/>
    </row>
    <row r="93">
      <c r="A93" s="20" t="s">
        <v>15</v>
      </c>
      <c r="B93" s="7" t="s">
        <v>40</v>
      </c>
      <c r="C93" s="7">
        <v>26.0</v>
      </c>
      <c r="D93" s="21">
        <v>0.93</v>
      </c>
      <c r="E93" s="59">
        <v>3.19</v>
      </c>
      <c r="F93" s="7">
        <v>0.012</v>
      </c>
      <c r="G93" s="23">
        <v>421.301252436</v>
      </c>
      <c r="H93" s="24">
        <f t="shared" si="10"/>
        <v>0.3672</v>
      </c>
      <c r="I93" s="25">
        <f t="shared" si="11"/>
        <v>0.375</v>
      </c>
      <c r="J93" s="24">
        <f t="shared" si="12"/>
        <v>0.3736778135</v>
      </c>
      <c r="K93" s="24">
        <f t="shared" si="13"/>
        <v>0.4848409621</v>
      </c>
      <c r="L93" s="24">
        <f t="shared" si="5"/>
        <v>0.9990384098</v>
      </c>
      <c r="N93" s="20" t="s">
        <v>19</v>
      </c>
      <c r="O93" s="71" t="s">
        <v>21</v>
      </c>
      <c r="P93" s="72">
        <f t="shared" si="14"/>
        <v>0.9600073862</v>
      </c>
      <c r="Q93" s="72">
        <f t="shared" si="15"/>
        <v>1.039169193</v>
      </c>
      <c r="R93" s="72">
        <f t="shared" si="16"/>
        <v>0.9984123868</v>
      </c>
      <c r="S93" s="73">
        <f t="shared" si="17"/>
        <v>0.9799601282</v>
      </c>
      <c r="T93" s="73">
        <f t="shared" si="18"/>
        <v>0.9942363461</v>
      </c>
      <c r="U93" s="73">
        <f t="shared" si="19"/>
        <v>1.005668731</v>
      </c>
      <c r="V93" s="73"/>
      <c r="W93" s="73">
        <f t="shared" si="20"/>
        <v>1.014017691</v>
      </c>
      <c r="X93" s="73">
        <f t="shared" si="21"/>
        <v>1.019973496</v>
      </c>
      <c r="Y93" s="38">
        <f>AVERAGE(L530,L562)</f>
        <v>1.040026881</v>
      </c>
      <c r="Z93" s="74">
        <v>0.96</v>
      </c>
      <c r="AD93" s="26"/>
      <c r="AE93" s="26"/>
      <c r="AF93" s="26"/>
      <c r="AG93" s="26"/>
      <c r="AH93" s="26"/>
      <c r="AI93" s="26"/>
      <c r="AJ93" s="26"/>
    </row>
    <row r="94">
      <c r="A94" s="20" t="s">
        <v>15</v>
      </c>
      <c r="B94" s="7" t="s">
        <v>40</v>
      </c>
      <c r="C94" s="7">
        <v>27.0</v>
      </c>
      <c r="D94" s="21">
        <v>0.93</v>
      </c>
      <c r="E94" s="59">
        <v>2.88</v>
      </c>
      <c r="F94" s="7">
        <v>0.011</v>
      </c>
      <c r="G94" s="23">
        <v>390.139671112001</v>
      </c>
      <c r="H94" s="24">
        <f t="shared" si="10"/>
        <v>0.3366</v>
      </c>
      <c r="I94" s="25">
        <f t="shared" si="11"/>
        <v>0.25</v>
      </c>
      <c r="J94" s="24">
        <f t="shared" si="12"/>
        <v>0.2650833034</v>
      </c>
      <c r="K94" s="24">
        <f t="shared" si="13"/>
        <v>0.5791055798</v>
      </c>
      <c r="L94" s="24">
        <f t="shared" si="5"/>
        <v>1.012066643</v>
      </c>
      <c r="N94" s="20" t="s">
        <v>19</v>
      </c>
      <c r="O94" s="71" t="s">
        <v>23</v>
      </c>
      <c r="P94" s="75">
        <f t="shared" si="14"/>
        <v>0.9500032446</v>
      </c>
      <c r="Q94" s="75">
        <f t="shared" si="15"/>
        <v>0.9832527096</v>
      </c>
      <c r="R94" s="75">
        <f t="shared" si="16"/>
        <v>0.9665066179</v>
      </c>
      <c r="S94" s="76">
        <f t="shared" si="17"/>
        <v>0.9586679231</v>
      </c>
      <c r="T94" s="76">
        <f t="shared" si="18"/>
        <v>0.9647469815</v>
      </c>
      <c r="U94" s="76">
        <f t="shared" si="19"/>
        <v>0.9695444591</v>
      </c>
      <c r="V94" s="76"/>
      <c r="W94" s="76">
        <f t="shared" si="20"/>
        <v>0.9730090831</v>
      </c>
      <c r="X94" s="76">
        <f t="shared" si="21"/>
        <v>0.9754608115</v>
      </c>
      <c r="Y94" s="38">
        <f>AVERAGE(L563,L595)</f>
        <v>0.9835969966</v>
      </c>
      <c r="Z94" s="74">
        <v>0.95</v>
      </c>
      <c r="AD94" s="26"/>
      <c r="AE94" s="26"/>
      <c r="AF94" s="26"/>
      <c r="AG94" s="26"/>
      <c r="AH94" s="26"/>
      <c r="AI94" s="26"/>
      <c r="AJ94" s="26"/>
    </row>
    <row r="95">
      <c r="A95" s="20" t="s">
        <v>15</v>
      </c>
      <c r="B95" s="7" t="s">
        <v>40</v>
      </c>
      <c r="C95" s="7">
        <v>28.0</v>
      </c>
      <c r="D95" s="21">
        <v>0.93</v>
      </c>
      <c r="E95" s="59">
        <v>3.37</v>
      </c>
      <c r="F95" s="7">
        <v>0.013</v>
      </c>
      <c r="G95" s="23">
        <v>454.649136436</v>
      </c>
      <c r="H95" s="24">
        <f t="shared" si="10"/>
        <v>0.3978</v>
      </c>
      <c r="I95" s="25">
        <f t="shared" si="11"/>
        <v>0.5</v>
      </c>
      <c r="J95" s="24">
        <f t="shared" si="12"/>
        <v>0.4898913358</v>
      </c>
      <c r="K95" s="24">
        <f t="shared" si="13"/>
        <v>0.4097708238</v>
      </c>
      <c r="L95" s="24">
        <f t="shared" si="5"/>
        <v>0.9932608905</v>
      </c>
      <c r="N95" s="20" t="s">
        <v>19</v>
      </c>
      <c r="O95" s="71" t="s">
        <v>24</v>
      </c>
      <c r="P95" s="75">
        <f t="shared" si="14"/>
        <v>0.9600007064</v>
      </c>
      <c r="Q95" s="75">
        <f t="shared" si="15"/>
        <v>0.9670456069</v>
      </c>
      <c r="R95" s="75">
        <f t="shared" si="16"/>
        <v>0.9635451523</v>
      </c>
      <c r="S95" s="76">
        <f t="shared" si="17"/>
        <v>0.9618735894</v>
      </c>
      <c r="T95" s="76">
        <f t="shared" si="18"/>
        <v>0.9631717797</v>
      </c>
      <c r="U95" s="76">
        <f t="shared" si="19"/>
        <v>0.9641872305</v>
      </c>
      <c r="V95" s="76"/>
      <c r="W95" s="76">
        <f t="shared" si="20"/>
        <v>0.9649156543</v>
      </c>
      <c r="X95" s="76">
        <f t="shared" si="21"/>
        <v>0.965428654</v>
      </c>
      <c r="Y95" s="38">
        <f>AVERAGE(L596,L628)</f>
        <v>0.9671165853</v>
      </c>
      <c r="Z95" s="74">
        <v>0.96</v>
      </c>
      <c r="AD95" s="26"/>
      <c r="AE95" s="26"/>
      <c r="AF95" s="26"/>
      <c r="AG95" s="26"/>
      <c r="AH95" s="26"/>
      <c r="AI95" s="26"/>
      <c r="AJ95" s="26"/>
    </row>
    <row r="96">
      <c r="A96" s="20" t="s">
        <v>15</v>
      </c>
      <c r="B96" s="7" t="s">
        <v>40</v>
      </c>
      <c r="C96" s="7">
        <v>29.0</v>
      </c>
      <c r="D96" s="21">
        <v>0.93</v>
      </c>
      <c r="E96" s="59">
        <v>3.11</v>
      </c>
      <c r="F96" s="7">
        <v>0.012</v>
      </c>
      <c r="G96" s="23">
        <v>417.388290123</v>
      </c>
      <c r="H96" s="24">
        <f t="shared" si="10"/>
        <v>0.3672</v>
      </c>
      <c r="I96" s="25">
        <f t="shared" si="11"/>
        <v>0.375</v>
      </c>
      <c r="J96" s="24">
        <f t="shared" si="12"/>
        <v>0.360041592</v>
      </c>
      <c r="K96" s="24">
        <f t="shared" si="13"/>
        <v>0.4897021361</v>
      </c>
      <c r="L96" s="24">
        <f t="shared" si="5"/>
        <v>0.9891211578</v>
      </c>
      <c r="N96" s="20" t="s">
        <v>19</v>
      </c>
      <c r="O96" s="71" t="s">
        <v>25</v>
      </c>
      <c r="P96" s="75">
        <f t="shared" si="14"/>
        <v>0.9800002616</v>
      </c>
      <c r="Q96" s="75">
        <f t="shared" si="15"/>
        <v>0.9825976009</v>
      </c>
      <c r="R96" s="75">
        <f t="shared" si="16"/>
        <v>0.9813100696</v>
      </c>
      <c r="S96" s="76">
        <f t="shared" si="17"/>
        <v>0.9806931302</v>
      </c>
      <c r="T96" s="76">
        <f t="shared" si="18"/>
        <v>0.9811723839</v>
      </c>
      <c r="U96" s="76">
        <f t="shared" si="19"/>
        <v>0.9815466845</v>
      </c>
      <c r="V96" s="76"/>
      <c r="W96" s="76">
        <f t="shared" si="20"/>
        <v>0.9818148756</v>
      </c>
      <c r="X96" s="76">
        <f t="shared" si="21"/>
        <v>0.9820035968</v>
      </c>
      <c r="Y96" s="38">
        <f>AVERAGE(L629,L661)</f>
        <v>0.9826236465</v>
      </c>
      <c r="Z96" s="74">
        <v>0.98</v>
      </c>
      <c r="AD96" s="26"/>
      <c r="AE96" s="26"/>
      <c r="AF96" s="26"/>
      <c r="AG96" s="26"/>
      <c r="AH96" s="26"/>
      <c r="AI96" s="26"/>
      <c r="AJ96" s="26"/>
    </row>
    <row r="97">
      <c r="A97" s="20" t="s">
        <v>15</v>
      </c>
      <c r="B97" s="7" t="s">
        <v>40</v>
      </c>
      <c r="C97" s="7">
        <v>30.0</v>
      </c>
      <c r="D97" s="21">
        <v>0.93</v>
      </c>
      <c r="E97" s="59">
        <v>3.97</v>
      </c>
      <c r="F97" s="7">
        <v>0.015</v>
      </c>
      <c r="G97" s="23">
        <v>524.073630230999</v>
      </c>
      <c r="H97" s="24">
        <f t="shared" si="10"/>
        <v>0.459</v>
      </c>
      <c r="I97" s="25">
        <f t="shared" si="11"/>
        <v>0.75</v>
      </c>
      <c r="J97" s="24">
        <f t="shared" si="12"/>
        <v>0.7318276744</v>
      </c>
      <c r="K97" s="24">
        <f t="shared" si="13"/>
        <v>0.3021650029</v>
      </c>
      <c r="L97" s="24">
        <f t="shared" si="5"/>
        <v>0.9896158139</v>
      </c>
      <c r="AD97" s="26"/>
      <c r="AE97" s="26"/>
      <c r="AF97" s="26"/>
      <c r="AG97" s="26"/>
      <c r="AH97" s="26"/>
      <c r="AI97" s="26"/>
      <c r="AJ97" s="26"/>
    </row>
    <row r="98">
      <c r="A98" s="20" t="s">
        <v>15</v>
      </c>
      <c r="B98" s="7" t="s">
        <v>40</v>
      </c>
      <c r="C98" s="7">
        <v>31.0</v>
      </c>
      <c r="D98" s="21">
        <v>0.93</v>
      </c>
      <c r="E98" s="59">
        <v>2.99</v>
      </c>
      <c r="F98" s="7">
        <v>0.011</v>
      </c>
      <c r="G98" s="23">
        <v>404.821539242999</v>
      </c>
      <c r="H98" s="24">
        <f t="shared" si="10"/>
        <v>0.3366</v>
      </c>
      <c r="I98" s="25">
        <f t="shared" si="11"/>
        <v>0.25</v>
      </c>
      <c r="J98" s="24">
        <f t="shared" si="12"/>
        <v>0.3162479173</v>
      </c>
      <c r="K98" s="24">
        <f t="shared" si="13"/>
        <v>0.5565948408</v>
      </c>
      <c r="L98" s="24">
        <f t="shared" si="5"/>
        <v>1.052998334</v>
      </c>
      <c r="AD98" s="26"/>
      <c r="AE98" s="26"/>
      <c r="AF98" s="26"/>
      <c r="AG98" s="26"/>
      <c r="AH98" s="26"/>
      <c r="AI98" s="26"/>
      <c r="AJ98" s="26"/>
    </row>
    <row r="99">
      <c r="A99" s="20" t="s">
        <v>15</v>
      </c>
      <c r="B99" s="7" t="s">
        <v>40</v>
      </c>
      <c r="C99" s="7">
        <v>32.0</v>
      </c>
      <c r="D99" s="21">
        <v>0.93</v>
      </c>
      <c r="E99" s="59">
        <v>3.0</v>
      </c>
      <c r="F99" s="7">
        <v>0.011</v>
      </c>
      <c r="G99" s="23">
        <v>397.830396219998</v>
      </c>
      <c r="H99" s="24">
        <f t="shared" si="10"/>
        <v>0.3366</v>
      </c>
      <c r="I99" s="25">
        <f t="shared" si="11"/>
        <v>0.25</v>
      </c>
      <c r="J99" s="24">
        <f t="shared" si="12"/>
        <v>0.2918845918</v>
      </c>
      <c r="K99" s="24">
        <f t="shared" si="13"/>
        <v>0.5670915225</v>
      </c>
      <c r="L99" s="24">
        <f t="shared" si="5"/>
        <v>1.033507673</v>
      </c>
      <c r="AD99" s="26"/>
      <c r="AE99" s="26"/>
      <c r="AF99" s="26"/>
      <c r="AG99" s="26"/>
      <c r="AH99" s="26"/>
      <c r="AI99" s="26"/>
      <c r="AJ99" s="26"/>
    </row>
    <row r="100">
      <c r="A100" s="20" t="s">
        <v>15</v>
      </c>
      <c r="B100" s="7" t="s">
        <v>40</v>
      </c>
      <c r="C100" s="7">
        <v>33.0</v>
      </c>
      <c r="D100" s="21">
        <v>0.93</v>
      </c>
      <c r="E100" s="59">
        <v>2.35</v>
      </c>
      <c r="F100" s="7">
        <v>0.009</v>
      </c>
      <c r="G100" s="23">
        <v>314.073073334</v>
      </c>
      <c r="H100" s="24">
        <f t="shared" si="10"/>
        <v>0.2754</v>
      </c>
      <c r="I100" s="25">
        <f t="shared" si="11"/>
        <v>0</v>
      </c>
      <c r="J100" s="24">
        <f t="shared" si="12"/>
        <v>0</v>
      </c>
      <c r="K100" s="24">
        <f t="shared" si="13"/>
        <v>0.915771</v>
      </c>
      <c r="L100" s="24">
        <f t="shared" si="5"/>
        <v>1</v>
      </c>
      <c r="AD100" s="26"/>
      <c r="AE100" s="26"/>
      <c r="AF100" s="26"/>
      <c r="AG100" s="26"/>
      <c r="AH100" s="26"/>
      <c r="AI100" s="26"/>
      <c r="AJ100" s="26"/>
    </row>
    <row r="101">
      <c r="A101" s="57" t="s">
        <v>15</v>
      </c>
      <c r="B101" s="58" t="s">
        <v>54</v>
      </c>
      <c r="C101" s="7">
        <v>1.0</v>
      </c>
      <c r="D101" s="21">
        <v>0.97</v>
      </c>
      <c r="E101" s="59">
        <v>1.88</v>
      </c>
      <c r="F101" s="7">
        <v>0.005</v>
      </c>
      <c r="G101" s="23">
        <v>181.309728120999</v>
      </c>
      <c r="H101" s="24">
        <f t="shared" ref="H101:H133" si="22">F101*472/5</f>
        <v>0.472</v>
      </c>
      <c r="I101" s="25">
        <f t="shared" ref="I101:I133" si="23">(H101-MIN($H$101:$H$133))/(MAX($H$101:$H$133)-MIN($H$101:$H$133))</f>
        <v>0</v>
      </c>
      <c r="J101" s="24">
        <f t="shared" ref="J101:J133" si="24">(G101-MIN($G$101:$G$133))/(MAX($G$101:$G$133)-MIN($G$101:$G$133))</f>
        <v>0.08678427561</v>
      </c>
      <c r="K101" s="24">
        <f t="shared" ref="K101:K133" si="25">0.97*(1/(1+I101))*(1/(1+J101))*(1-0)</f>
        <v>0.8925414379</v>
      </c>
      <c r="L101" s="24">
        <f t="shared" si="5"/>
        <v>1.086784276</v>
      </c>
      <c r="AD101" s="26"/>
      <c r="AE101" s="26"/>
      <c r="AF101" s="26"/>
      <c r="AG101" s="26"/>
      <c r="AH101" s="26"/>
      <c r="AI101" s="26"/>
      <c r="AJ101" s="26"/>
    </row>
    <row r="102">
      <c r="A102" s="20" t="s">
        <v>15</v>
      </c>
      <c r="B102" s="7" t="s">
        <v>54</v>
      </c>
      <c r="C102" s="7">
        <v>2.0</v>
      </c>
      <c r="D102" s="21">
        <v>0.97</v>
      </c>
      <c r="E102" s="59">
        <v>2.05</v>
      </c>
      <c r="F102" s="7">
        <v>0.006</v>
      </c>
      <c r="G102" s="23">
        <v>189.266945497999</v>
      </c>
      <c r="H102" s="24">
        <f t="shared" si="22"/>
        <v>0.5664</v>
      </c>
      <c r="I102" s="25">
        <f t="shared" si="23"/>
        <v>0.2</v>
      </c>
      <c r="J102" s="24">
        <f t="shared" si="24"/>
        <v>0.1354982201</v>
      </c>
      <c r="K102" s="24">
        <f t="shared" si="25"/>
        <v>0.7118754737</v>
      </c>
      <c r="L102" s="24">
        <f t="shared" si="5"/>
        <v>0.9462485167</v>
      </c>
      <c r="AD102" s="26"/>
      <c r="AE102" s="26"/>
      <c r="AF102" s="26"/>
      <c r="AG102" s="26"/>
      <c r="AH102" s="26"/>
      <c r="AI102" s="26"/>
      <c r="AJ102" s="26"/>
    </row>
    <row r="103">
      <c r="A103" s="20" t="s">
        <v>15</v>
      </c>
      <c r="B103" s="7" t="s">
        <v>54</v>
      </c>
      <c r="C103" s="7">
        <v>3.0</v>
      </c>
      <c r="D103" s="21">
        <v>0.97</v>
      </c>
      <c r="E103" s="59">
        <v>2.1</v>
      </c>
      <c r="F103" s="7">
        <v>0.006</v>
      </c>
      <c r="G103" s="23">
        <v>191.21615756</v>
      </c>
      <c r="H103" s="24">
        <f t="shared" si="22"/>
        <v>0.5664</v>
      </c>
      <c r="I103" s="25">
        <f t="shared" si="23"/>
        <v>0.2</v>
      </c>
      <c r="J103" s="24">
        <f t="shared" si="24"/>
        <v>0.147431262</v>
      </c>
      <c r="K103" s="24">
        <f t="shared" si="25"/>
        <v>0.7044721197</v>
      </c>
      <c r="L103" s="24">
        <f t="shared" si="5"/>
        <v>0.9561927183</v>
      </c>
      <c r="AD103" s="26"/>
      <c r="AE103" s="26"/>
      <c r="AF103" s="26"/>
      <c r="AG103" s="26"/>
      <c r="AH103" s="26"/>
      <c r="AI103" s="26"/>
      <c r="AJ103" s="26"/>
    </row>
    <row r="104">
      <c r="A104" s="20" t="s">
        <v>15</v>
      </c>
      <c r="B104" s="7" t="s">
        <v>54</v>
      </c>
      <c r="C104" s="7">
        <v>4.0</v>
      </c>
      <c r="D104" s="21">
        <v>0.97</v>
      </c>
      <c r="E104" s="59">
        <v>1.94</v>
      </c>
      <c r="F104" s="7">
        <v>0.006</v>
      </c>
      <c r="G104" s="23">
        <v>175.226967181</v>
      </c>
      <c r="H104" s="24">
        <f t="shared" si="22"/>
        <v>0.5664</v>
      </c>
      <c r="I104" s="25">
        <f t="shared" si="23"/>
        <v>0.2</v>
      </c>
      <c r="J104" s="24">
        <f t="shared" si="24"/>
        <v>0.04954572039</v>
      </c>
      <c r="K104" s="24">
        <f t="shared" si="25"/>
        <v>0.7701744837</v>
      </c>
      <c r="L104" s="24">
        <f t="shared" si="5"/>
        <v>0.8746214337</v>
      </c>
      <c r="AD104" s="26"/>
      <c r="AE104" s="26"/>
      <c r="AF104" s="26"/>
      <c r="AG104" s="26"/>
      <c r="AH104" s="26"/>
      <c r="AI104" s="26"/>
      <c r="AJ104" s="26"/>
    </row>
    <row r="105">
      <c r="A105" s="20" t="s">
        <v>15</v>
      </c>
      <c r="B105" s="7" t="s">
        <v>54</v>
      </c>
      <c r="C105" s="7">
        <v>5.0</v>
      </c>
      <c r="D105" s="21">
        <v>0.97</v>
      </c>
      <c r="E105" s="59">
        <v>2.26</v>
      </c>
      <c r="F105" s="7">
        <v>0.006</v>
      </c>
      <c r="G105" s="23">
        <v>204.367334687</v>
      </c>
      <c r="H105" s="24">
        <f t="shared" si="22"/>
        <v>0.5664</v>
      </c>
      <c r="I105" s="25">
        <f t="shared" si="23"/>
        <v>0.2</v>
      </c>
      <c r="J105" s="24">
        <f t="shared" si="24"/>
        <v>0.2279425364</v>
      </c>
      <c r="K105" s="24">
        <f t="shared" si="25"/>
        <v>0.6582827041</v>
      </c>
      <c r="L105" s="24">
        <f t="shared" si="5"/>
        <v>1.023285447</v>
      </c>
      <c r="AD105" s="26"/>
      <c r="AE105" s="26"/>
      <c r="AF105" s="26"/>
      <c r="AG105" s="26"/>
      <c r="AH105" s="26"/>
      <c r="AI105" s="26"/>
      <c r="AJ105" s="26"/>
    </row>
    <row r="106">
      <c r="A106" s="20" t="s">
        <v>15</v>
      </c>
      <c r="B106" s="7" t="s">
        <v>54</v>
      </c>
      <c r="C106" s="7">
        <v>6.0</v>
      </c>
      <c r="D106" s="21">
        <v>0.97</v>
      </c>
      <c r="E106" s="59">
        <v>1.94</v>
      </c>
      <c r="F106" s="7">
        <v>0.006</v>
      </c>
      <c r="G106" s="23">
        <v>175.595339059</v>
      </c>
      <c r="H106" s="24">
        <f t="shared" si="22"/>
        <v>0.5664</v>
      </c>
      <c r="I106" s="25">
        <f t="shared" si="23"/>
        <v>0.2</v>
      </c>
      <c r="J106" s="24">
        <f t="shared" si="24"/>
        <v>0.05180088653</v>
      </c>
      <c r="K106" s="24">
        <f t="shared" si="25"/>
        <v>0.7685231527</v>
      </c>
      <c r="L106" s="24">
        <f t="shared" si="5"/>
        <v>0.8765007388</v>
      </c>
      <c r="AD106" s="26"/>
      <c r="AE106" s="26"/>
      <c r="AF106" s="26"/>
      <c r="AG106" s="26"/>
      <c r="AH106" s="26"/>
      <c r="AI106" s="26"/>
      <c r="AJ106" s="26"/>
    </row>
    <row r="107">
      <c r="A107" s="20" t="s">
        <v>15</v>
      </c>
      <c r="B107" s="7" t="s">
        <v>54</v>
      </c>
      <c r="C107" s="7">
        <v>7.0</v>
      </c>
      <c r="D107" s="21">
        <v>0.97</v>
      </c>
      <c r="E107" s="59">
        <v>2.43</v>
      </c>
      <c r="F107" s="7">
        <v>0.007</v>
      </c>
      <c r="G107" s="23">
        <v>219.733471709</v>
      </c>
      <c r="H107" s="24">
        <f t="shared" si="22"/>
        <v>0.6608</v>
      </c>
      <c r="I107" s="25">
        <f t="shared" si="23"/>
        <v>0.4</v>
      </c>
      <c r="J107" s="24">
        <f t="shared" si="24"/>
        <v>0.3220137563</v>
      </c>
      <c r="K107" s="24">
        <f t="shared" si="25"/>
        <v>0.5240922339</v>
      </c>
      <c r="L107" s="24">
        <f t="shared" si="5"/>
        <v>0.9442955402</v>
      </c>
      <c r="AD107" s="26"/>
      <c r="AE107" s="26"/>
      <c r="AF107" s="26"/>
      <c r="AG107" s="26"/>
      <c r="AH107" s="26"/>
      <c r="AI107" s="26"/>
      <c r="AJ107" s="26"/>
    </row>
    <row r="108">
      <c r="A108" s="20" t="s">
        <v>15</v>
      </c>
      <c r="B108" s="7" t="s">
        <v>54</v>
      </c>
      <c r="C108" s="7">
        <v>8.0</v>
      </c>
      <c r="D108" s="21">
        <v>0.97</v>
      </c>
      <c r="E108" s="59">
        <v>2.12</v>
      </c>
      <c r="F108" s="7">
        <v>0.006</v>
      </c>
      <c r="G108" s="23">
        <v>191.583764598</v>
      </c>
      <c r="H108" s="24">
        <f t="shared" si="22"/>
        <v>0.5664</v>
      </c>
      <c r="I108" s="25">
        <f t="shared" si="23"/>
        <v>0.2</v>
      </c>
      <c r="J108" s="24">
        <f t="shared" si="24"/>
        <v>0.1496817458</v>
      </c>
      <c r="K108" s="24">
        <f t="shared" si="25"/>
        <v>0.7030931267</v>
      </c>
      <c r="L108" s="24">
        <f t="shared" si="5"/>
        <v>0.9580681215</v>
      </c>
      <c r="AD108" s="26"/>
      <c r="AE108" s="26"/>
      <c r="AF108" s="26"/>
      <c r="AG108" s="26"/>
      <c r="AH108" s="26"/>
      <c r="AI108" s="26"/>
      <c r="AJ108" s="26"/>
    </row>
    <row r="109">
      <c r="A109" s="20" t="s">
        <v>15</v>
      </c>
      <c r="B109" s="7" t="s">
        <v>54</v>
      </c>
      <c r="C109" s="7">
        <v>9.0</v>
      </c>
      <c r="D109" s="21">
        <v>0.97</v>
      </c>
      <c r="E109" s="59">
        <v>2.14</v>
      </c>
      <c r="F109" s="7">
        <v>0.006</v>
      </c>
      <c r="G109" s="23">
        <v>193.837306555</v>
      </c>
      <c r="H109" s="24">
        <f t="shared" si="22"/>
        <v>0.5664</v>
      </c>
      <c r="I109" s="25">
        <f t="shared" si="23"/>
        <v>0.2</v>
      </c>
      <c r="J109" s="24">
        <f t="shared" si="24"/>
        <v>0.1634778899</v>
      </c>
      <c r="K109" s="24">
        <f t="shared" si="25"/>
        <v>0.694756076</v>
      </c>
      <c r="L109" s="24">
        <f t="shared" si="5"/>
        <v>0.9695649082</v>
      </c>
      <c r="AD109" s="26"/>
      <c r="AE109" s="26"/>
      <c r="AF109" s="26"/>
      <c r="AG109" s="26"/>
      <c r="AH109" s="26"/>
      <c r="AI109" s="26"/>
      <c r="AJ109" s="26"/>
    </row>
    <row r="110">
      <c r="A110" s="20" t="s">
        <v>15</v>
      </c>
      <c r="B110" s="7" t="s">
        <v>54</v>
      </c>
      <c r="C110" s="7">
        <v>10.0</v>
      </c>
      <c r="D110" s="21">
        <v>0.97</v>
      </c>
      <c r="E110" s="59">
        <v>2.23</v>
      </c>
      <c r="F110" s="7">
        <v>0.006</v>
      </c>
      <c r="G110" s="23">
        <v>201.739357192999</v>
      </c>
      <c r="H110" s="24">
        <f t="shared" si="22"/>
        <v>0.5664</v>
      </c>
      <c r="I110" s="25">
        <f t="shared" si="23"/>
        <v>0.2</v>
      </c>
      <c r="J110" s="24">
        <f t="shared" si="24"/>
        <v>0.2118541046</v>
      </c>
      <c r="K110" s="24">
        <f t="shared" si="25"/>
        <v>0.6670219875</v>
      </c>
      <c r="L110" s="24">
        <f t="shared" si="5"/>
        <v>1.00987842</v>
      </c>
      <c r="AD110" s="26"/>
      <c r="AE110" s="26"/>
      <c r="AF110" s="26"/>
      <c r="AG110" s="26"/>
      <c r="AH110" s="26"/>
      <c r="AI110" s="26"/>
      <c r="AJ110" s="26"/>
    </row>
    <row r="111">
      <c r="A111" s="20" t="s">
        <v>15</v>
      </c>
      <c r="B111" s="7" t="s">
        <v>54</v>
      </c>
      <c r="C111" s="7">
        <v>11.0</v>
      </c>
      <c r="D111" s="21">
        <v>0.97</v>
      </c>
      <c r="E111" s="59">
        <v>1.84</v>
      </c>
      <c r="F111" s="7">
        <v>0.005</v>
      </c>
      <c r="G111" s="23">
        <v>167.133882715999</v>
      </c>
      <c r="H111" s="24">
        <f t="shared" si="22"/>
        <v>0.472</v>
      </c>
      <c r="I111" s="25">
        <f t="shared" si="23"/>
        <v>0</v>
      </c>
      <c r="J111" s="24">
        <f t="shared" si="24"/>
        <v>0</v>
      </c>
      <c r="K111" s="24">
        <f t="shared" si="25"/>
        <v>0.97</v>
      </c>
      <c r="L111" s="24">
        <f t="shared" si="5"/>
        <v>1</v>
      </c>
      <c r="AD111" s="26"/>
      <c r="AE111" s="26"/>
      <c r="AF111" s="26"/>
      <c r="AG111" s="26"/>
      <c r="AH111" s="26"/>
      <c r="AI111" s="26"/>
      <c r="AJ111" s="26"/>
    </row>
    <row r="112">
      <c r="A112" s="20" t="s">
        <v>15</v>
      </c>
      <c r="B112" s="7" t="s">
        <v>54</v>
      </c>
      <c r="C112" s="7">
        <v>12.0</v>
      </c>
      <c r="D112" s="21">
        <v>0.97</v>
      </c>
      <c r="E112" s="59">
        <v>1.99</v>
      </c>
      <c r="F112" s="7">
        <v>0.006</v>
      </c>
      <c r="G112" s="23">
        <v>181.391187238</v>
      </c>
      <c r="H112" s="24">
        <f t="shared" si="22"/>
        <v>0.5664</v>
      </c>
      <c r="I112" s="25">
        <f t="shared" si="23"/>
        <v>0.2</v>
      </c>
      <c r="J112" s="24">
        <f t="shared" si="24"/>
        <v>0.08728296689</v>
      </c>
      <c r="K112" s="24">
        <f t="shared" si="25"/>
        <v>0.7434433887</v>
      </c>
      <c r="L112" s="24">
        <f t="shared" si="5"/>
        <v>0.9060691391</v>
      </c>
      <c r="AD112" s="26"/>
      <c r="AE112" s="26"/>
      <c r="AF112" s="26"/>
      <c r="AG112" s="26"/>
      <c r="AH112" s="26"/>
      <c r="AI112" s="26"/>
      <c r="AJ112" s="26"/>
    </row>
    <row r="113">
      <c r="A113" s="20" t="s">
        <v>15</v>
      </c>
      <c r="B113" s="7" t="s">
        <v>54</v>
      </c>
      <c r="C113" s="7">
        <v>13.0</v>
      </c>
      <c r="D113" s="21">
        <v>0.97</v>
      </c>
      <c r="E113" s="59">
        <v>1.9</v>
      </c>
      <c r="F113" s="7">
        <v>0.005</v>
      </c>
      <c r="G113" s="23">
        <v>171.736344626</v>
      </c>
      <c r="H113" s="24">
        <f t="shared" si="22"/>
        <v>0.472</v>
      </c>
      <c r="I113" s="25">
        <f t="shared" si="23"/>
        <v>0</v>
      </c>
      <c r="J113" s="24">
        <f t="shared" si="24"/>
        <v>0.02817619066</v>
      </c>
      <c r="K113" s="24">
        <f t="shared" si="25"/>
        <v>0.9434180725</v>
      </c>
      <c r="L113" s="24">
        <f t="shared" si="5"/>
        <v>1.028176191</v>
      </c>
      <c r="AD113" s="26"/>
      <c r="AE113" s="26"/>
      <c r="AF113" s="26"/>
      <c r="AG113" s="26"/>
      <c r="AH113" s="26"/>
      <c r="AI113" s="26"/>
      <c r="AJ113" s="26"/>
    </row>
    <row r="114">
      <c r="A114" s="20" t="s">
        <v>15</v>
      </c>
      <c r="B114" s="7" t="s">
        <v>54</v>
      </c>
      <c r="C114" s="7">
        <v>14.0</v>
      </c>
      <c r="D114" s="21">
        <v>0.97</v>
      </c>
      <c r="E114" s="59">
        <v>2.42</v>
      </c>
      <c r="F114" s="7">
        <v>0.007</v>
      </c>
      <c r="G114" s="23">
        <v>217.502980625999</v>
      </c>
      <c r="H114" s="24">
        <f t="shared" si="22"/>
        <v>0.6608</v>
      </c>
      <c r="I114" s="25">
        <f t="shared" si="23"/>
        <v>0.4</v>
      </c>
      <c r="J114" s="24">
        <f t="shared" si="24"/>
        <v>0.3083587293</v>
      </c>
      <c r="K114" s="24">
        <f t="shared" si="25"/>
        <v>0.5295620592</v>
      </c>
      <c r="L114" s="24">
        <f t="shared" si="5"/>
        <v>0.9345419495</v>
      </c>
      <c r="AD114" s="26"/>
      <c r="AE114" s="26"/>
      <c r="AF114" s="26"/>
      <c r="AG114" s="26"/>
      <c r="AH114" s="26"/>
      <c r="AI114" s="26"/>
      <c r="AJ114" s="26"/>
    </row>
    <row r="115">
      <c r="A115" s="20" t="s">
        <v>15</v>
      </c>
      <c r="B115" s="7" t="s">
        <v>54</v>
      </c>
      <c r="C115" s="7">
        <v>15.0</v>
      </c>
      <c r="D115" s="21">
        <v>0.97</v>
      </c>
      <c r="E115" s="59">
        <v>2.59</v>
      </c>
      <c r="F115" s="7">
        <v>0.007</v>
      </c>
      <c r="G115" s="23">
        <v>235.072844752</v>
      </c>
      <c r="H115" s="24">
        <f t="shared" si="22"/>
        <v>0.6608</v>
      </c>
      <c r="I115" s="25">
        <f t="shared" si="23"/>
        <v>0.4</v>
      </c>
      <c r="J115" s="24">
        <f t="shared" si="24"/>
        <v>0.4159211276</v>
      </c>
      <c r="K115" s="24">
        <f t="shared" si="25"/>
        <v>0.4893331481</v>
      </c>
      <c r="L115" s="24">
        <f t="shared" si="5"/>
        <v>1.011372234</v>
      </c>
      <c r="AD115" s="26"/>
      <c r="AE115" s="26"/>
      <c r="AF115" s="26"/>
      <c r="AG115" s="26"/>
      <c r="AH115" s="26"/>
      <c r="AI115" s="26"/>
      <c r="AJ115" s="26"/>
    </row>
    <row r="116">
      <c r="A116" s="20" t="s">
        <v>15</v>
      </c>
      <c r="B116" s="7" t="s">
        <v>54</v>
      </c>
      <c r="C116" s="7">
        <v>16.0</v>
      </c>
      <c r="D116" s="21">
        <v>0.97</v>
      </c>
      <c r="E116" s="59">
        <v>2.45</v>
      </c>
      <c r="F116" s="7">
        <v>0.007</v>
      </c>
      <c r="G116" s="23">
        <v>222.056746456</v>
      </c>
      <c r="H116" s="24">
        <f t="shared" si="22"/>
        <v>0.6608</v>
      </c>
      <c r="I116" s="25">
        <f t="shared" si="23"/>
        <v>0.4</v>
      </c>
      <c r="J116" s="24">
        <f t="shared" si="24"/>
        <v>0.3362368034</v>
      </c>
      <c r="K116" s="24">
        <f t="shared" si="25"/>
        <v>0.5185137403</v>
      </c>
      <c r="L116" s="24">
        <f t="shared" si="5"/>
        <v>0.9544548596</v>
      </c>
      <c r="AD116" s="26"/>
      <c r="AE116" s="26"/>
      <c r="AF116" s="26"/>
      <c r="AG116" s="26"/>
      <c r="AH116" s="26"/>
      <c r="AI116" s="26"/>
      <c r="AJ116" s="26"/>
    </row>
    <row r="117">
      <c r="A117" s="20" t="s">
        <v>15</v>
      </c>
      <c r="B117" s="7" t="s">
        <v>54</v>
      </c>
      <c r="C117" s="7">
        <v>17.0</v>
      </c>
      <c r="D117" s="21">
        <v>0.97</v>
      </c>
      <c r="E117" s="59">
        <v>2.37</v>
      </c>
      <c r="F117" s="7">
        <v>0.007</v>
      </c>
      <c r="G117" s="23">
        <v>215.227912781999</v>
      </c>
      <c r="H117" s="24">
        <f t="shared" si="22"/>
        <v>0.6608</v>
      </c>
      <c r="I117" s="25">
        <f t="shared" si="23"/>
        <v>0.4</v>
      </c>
      <c r="J117" s="24">
        <f t="shared" si="24"/>
        <v>0.294430804</v>
      </c>
      <c r="K117" s="24">
        <f t="shared" si="25"/>
        <v>0.5352600855</v>
      </c>
      <c r="L117" s="24">
        <f t="shared" si="5"/>
        <v>0.9245934315</v>
      </c>
      <c r="AD117" s="26"/>
      <c r="AE117" s="26"/>
      <c r="AF117" s="26"/>
      <c r="AG117" s="26"/>
      <c r="AH117" s="26"/>
      <c r="AI117" s="26"/>
      <c r="AJ117" s="26"/>
    </row>
    <row r="118">
      <c r="A118" s="20" t="s">
        <v>15</v>
      </c>
      <c r="B118" s="7" t="s">
        <v>54</v>
      </c>
      <c r="C118" s="7">
        <v>18.0</v>
      </c>
      <c r="D118" s="21">
        <v>0.97</v>
      </c>
      <c r="E118" s="59">
        <v>2.6</v>
      </c>
      <c r="F118" s="7">
        <v>0.007</v>
      </c>
      <c r="G118" s="23">
        <v>235.149675155999</v>
      </c>
      <c r="H118" s="24">
        <f t="shared" si="22"/>
        <v>0.6608</v>
      </c>
      <c r="I118" s="25">
        <f t="shared" si="23"/>
        <v>0.4</v>
      </c>
      <c r="J118" s="24">
        <f t="shared" si="24"/>
        <v>0.416391482</v>
      </c>
      <c r="K118" s="24">
        <f t="shared" si="25"/>
        <v>0.4891706507</v>
      </c>
      <c r="L118" s="24">
        <f t="shared" si="5"/>
        <v>1.011708201</v>
      </c>
      <c r="AD118" s="26"/>
      <c r="AE118" s="26"/>
      <c r="AF118" s="26"/>
      <c r="AG118" s="26"/>
      <c r="AH118" s="26"/>
      <c r="AI118" s="26"/>
      <c r="AJ118" s="26"/>
    </row>
    <row r="119">
      <c r="A119" s="20" t="s">
        <v>15</v>
      </c>
      <c r="B119" s="7" t="s">
        <v>54</v>
      </c>
      <c r="C119" s="7">
        <v>19.0</v>
      </c>
      <c r="D119" s="21">
        <v>0.97</v>
      </c>
      <c r="E119" s="59">
        <v>2.7</v>
      </c>
      <c r="F119" s="7">
        <v>0.008</v>
      </c>
      <c r="G119" s="23">
        <v>246.339307262999</v>
      </c>
      <c r="H119" s="24">
        <f t="shared" si="22"/>
        <v>0.7552</v>
      </c>
      <c r="I119" s="25">
        <f t="shared" si="23"/>
        <v>0.6</v>
      </c>
      <c r="J119" s="24">
        <f t="shared" si="24"/>
        <v>0.4848942125</v>
      </c>
      <c r="K119" s="24">
        <f t="shared" si="25"/>
        <v>0.4082782429</v>
      </c>
      <c r="L119" s="24">
        <f t="shared" si="5"/>
        <v>0.9280588828</v>
      </c>
      <c r="AD119" s="26"/>
      <c r="AE119" s="26"/>
      <c r="AF119" s="26"/>
      <c r="AG119" s="26"/>
      <c r="AH119" s="26"/>
      <c r="AI119" s="26"/>
      <c r="AJ119" s="26"/>
    </row>
    <row r="120">
      <c r="A120" s="20" t="s">
        <v>15</v>
      </c>
      <c r="B120" s="7" t="s">
        <v>54</v>
      </c>
      <c r="C120" s="7">
        <v>20.0</v>
      </c>
      <c r="D120" s="21">
        <v>0.97</v>
      </c>
      <c r="E120" s="59">
        <v>2.45</v>
      </c>
      <c r="F120" s="7">
        <v>0.007</v>
      </c>
      <c r="G120" s="23">
        <v>223.878367721</v>
      </c>
      <c r="H120" s="24">
        <f t="shared" si="22"/>
        <v>0.6608</v>
      </c>
      <c r="I120" s="25">
        <f t="shared" si="23"/>
        <v>0.4</v>
      </c>
      <c r="J120" s="24">
        <f t="shared" si="24"/>
        <v>0.3473887366</v>
      </c>
      <c r="K120" s="24">
        <f t="shared" si="25"/>
        <v>0.5142221573</v>
      </c>
      <c r="L120" s="24">
        <f t="shared" si="5"/>
        <v>0.9624205262</v>
      </c>
      <c r="AD120" s="26"/>
      <c r="AE120" s="26"/>
      <c r="AF120" s="26"/>
      <c r="AG120" s="26"/>
      <c r="AH120" s="26"/>
      <c r="AI120" s="26"/>
      <c r="AJ120" s="26"/>
    </row>
    <row r="121">
      <c r="A121" s="20" t="s">
        <v>15</v>
      </c>
      <c r="B121" s="7" t="s">
        <v>54</v>
      </c>
      <c r="C121" s="7">
        <v>21.0</v>
      </c>
      <c r="D121" s="21">
        <v>0.97</v>
      </c>
      <c r="E121" s="59">
        <v>2.37</v>
      </c>
      <c r="F121" s="7">
        <v>0.007</v>
      </c>
      <c r="G121" s="23">
        <v>215.726457259999</v>
      </c>
      <c r="H121" s="24">
        <f t="shared" si="22"/>
        <v>0.6608</v>
      </c>
      <c r="I121" s="25">
        <f t="shared" si="23"/>
        <v>0.4</v>
      </c>
      <c r="J121" s="24">
        <f t="shared" si="24"/>
        <v>0.2974828845</v>
      </c>
      <c r="K121" s="24">
        <f t="shared" si="25"/>
        <v>0.5340009885</v>
      </c>
      <c r="L121" s="24">
        <f t="shared" si="5"/>
        <v>0.926773489</v>
      </c>
      <c r="AD121" s="26"/>
      <c r="AE121" s="26"/>
      <c r="AF121" s="26"/>
      <c r="AG121" s="26"/>
      <c r="AH121" s="26"/>
      <c r="AI121" s="26"/>
      <c r="AJ121" s="26"/>
    </row>
    <row r="122">
      <c r="A122" s="20" t="s">
        <v>15</v>
      </c>
      <c r="B122" s="7" t="s">
        <v>54</v>
      </c>
      <c r="C122" s="7">
        <v>22.0</v>
      </c>
      <c r="D122" s="21">
        <v>0.97</v>
      </c>
      <c r="E122" s="59">
        <v>2.34</v>
      </c>
      <c r="F122" s="7">
        <v>0.007</v>
      </c>
      <c r="G122" s="23">
        <v>211.527221088999</v>
      </c>
      <c r="H122" s="24">
        <f t="shared" si="22"/>
        <v>0.6608</v>
      </c>
      <c r="I122" s="25">
        <f t="shared" si="23"/>
        <v>0.4</v>
      </c>
      <c r="J122" s="24">
        <f t="shared" si="24"/>
        <v>0.2717752347</v>
      </c>
      <c r="K122" s="24">
        <f t="shared" si="25"/>
        <v>0.5447952782</v>
      </c>
      <c r="L122" s="24">
        <f t="shared" si="5"/>
        <v>0.908410882</v>
      </c>
      <c r="AD122" s="26"/>
      <c r="AE122" s="26"/>
      <c r="AF122" s="26"/>
      <c r="AG122" s="26"/>
      <c r="AH122" s="26"/>
      <c r="AI122" s="26"/>
      <c r="AJ122" s="26"/>
    </row>
    <row r="123">
      <c r="A123" s="20" t="s">
        <v>15</v>
      </c>
      <c r="B123" s="7" t="s">
        <v>54</v>
      </c>
      <c r="C123" s="7">
        <v>23.0</v>
      </c>
      <c r="D123" s="21">
        <v>0.97</v>
      </c>
      <c r="E123" s="59">
        <v>2.71</v>
      </c>
      <c r="F123" s="7">
        <v>0.008</v>
      </c>
      <c r="G123" s="23">
        <v>245.049928726999</v>
      </c>
      <c r="H123" s="24">
        <f t="shared" si="22"/>
        <v>0.7552</v>
      </c>
      <c r="I123" s="25">
        <f t="shared" si="23"/>
        <v>0.6</v>
      </c>
      <c r="J123" s="24">
        <f t="shared" si="24"/>
        <v>0.4770006598</v>
      </c>
      <c r="K123" s="24">
        <f t="shared" si="25"/>
        <v>0.4104602093</v>
      </c>
      <c r="L123" s="24">
        <f t="shared" si="5"/>
        <v>0.9231254124</v>
      </c>
      <c r="O123" s="77"/>
      <c r="U123" s="78"/>
      <c r="AD123" s="26"/>
      <c r="AE123" s="26"/>
      <c r="AF123" s="26"/>
      <c r="AG123" s="26"/>
      <c r="AH123" s="26"/>
      <c r="AI123" s="26"/>
      <c r="AJ123" s="26"/>
    </row>
    <row r="124">
      <c r="A124" s="20" t="s">
        <v>15</v>
      </c>
      <c r="B124" s="7" t="s">
        <v>54</v>
      </c>
      <c r="C124" s="7">
        <v>24.0</v>
      </c>
      <c r="D124" s="21">
        <v>0.97</v>
      </c>
      <c r="E124" s="59">
        <v>3.65</v>
      </c>
      <c r="F124" s="7">
        <v>0.01</v>
      </c>
      <c r="G124" s="23">
        <v>330.479665175999</v>
      </c>
      <c r="H124" s="24">
        <f t="shared" si="22"/>
        <v>0.944</v>
      </c>
      <c r="I124" s="25">
        <f t="shared" si="23"/>
        <v>1</v>
      </c>
      <c r="J124" s="24">
        <f t="shared" si="24"/>
        <v>1</v>
      </c>
      <c r="K124" s="24">
        <f t="shared" si="25"/>
        <v>0.2425</v>
      </c>
      <c r="L124" s="24">
        <f t="shared" si="5"/>
        <v>1</v>
      </c>
      <c r="O124" s="79"/>
      <c r="P124" s="80"/>
      <c r="Q124" s="80"/>
      <c r="R124" s="80"/>
      <c r="S124" s="80"/>
      <c r="T124" s="80"/>
      <c r="U124" s="80"/>
      <c r="V124" s="80"/>
      <c r="W124" s="80"/>
      <c r="X124" s="80"/>
      <c r="AD124" s="26"/>
      <c r="AE124" s="26"/>
      <c r="AF124" s="26"/>
      <c r="AG124" s="26"/>
      <c r="AH124" s="26"/>
      <c r="AI124" s="26"/>
      <c r="AJ124" s="26"/>
    </row>
    <row r="125">
      <c r="A125" s="20" t="s">
        <v>15</v>
      </c>
      <c r="B125" s="7" t="s">
        <v>54</v>
      </c>
      <c r="C125" s="7">
        <v>25.0</v>
      </c>
      <c r="D125" s="21">
        <v>0.97</v>
      </c>
      <c r="E125" s="59">
        <v>3.19</v>
      </c>
      <c r="F125" s="7">
        <v>0.009</v>
      </c>
      <c r="G125" s="23">
        <v>287.538472904</v>
      </c>
      <c r="H125" s="24">
        <f t="shared" si="22"/>
        <v>0.8496</v>
      </c>
      <c r="I125" s="25">
        <f t="shared" si="23"/>
        <v>0.8</v>
      </c>
      <c r="J125" s="24">
        <f t="shared" si="24"/>
        <v>0.7371147781</v>
      </c>
      <c r="K125" s="24">
        <f t="shared" si="25"/>
        <v>0.3102206577</v>
      </c>
      <c r="L125" s="24">
        <f t="shared" si="5"/>
        <v>0.9650637656</v>
      </c>
      <c r="O125" s="81"/>
      <c r="P125" s="82"/>
      <c r="Q125" s="82"/>
      <c r="R125" s="82"/>
      <c r="S125" s="82"/>
      <c r="T125" s="82"/>
      <c r="U125" s="82"/>
      <c r="V125" s="82"/>
      <c r="W125" s="82"/>
      <c r="X125" s="82"/>
      <c r="AD125" s="26"/>
      <c r="AE125" s="26"/>
      <c r="AF125" s="26"/>
      <c r="AG125" s="26"/>
      <c r="AH125" s="26"/>
      <c r="AI125" s="26"/>
      <c r="AJ125" s="26"/>
    </row>
    <row r="126">
      <c r="A126" s="20" t="s">
        <v>15</v>
      </c>
      <c r="B126" s="7" t="s">
        <v>54</v>
      </c>
      <c r="C126" s="7">
        <v>26.0</v>
      </c>
      <c r="D126" s="21">
        <v>0.97</v>
      </c>
      <c r="E126" s="59">
        <v>3.15</v>
      </c>
      <c r="F126" s="7">
        <v>0.009</v>
      </c>
      <c r="G126" s="23">
        <v>283.544855756</v>
      </c>
      <c r="H126" s="24">
        <f t="shared" si="22"/>
        <v>0.8496</v>
      </c>
      <c r="I126" s="25">
        <f t="shared" si="23"/>
        <v>0.8</v>
      </c>
      <c r="J126" s="24">
        <f t="shared" si="24"/>
        <v>0.7126659243</v>
      </c>
      <c r="K126" s="24">
        <f t="shared" si="25"/>
        <v>0.3146491568</v>
      </c>
      <c r="L126" s="24">
        <f t="shared" si="5"/>
        <v>0.9514810691</v>
      </c>
      <c r="O126" s="81"/>
      <c r="P126" s="82"/>
      <c r="Q126" s="82"/>
      <c r="R126" s="82"/>
      <c r="S126" s="82"/>
      <c r="T126" s="82"/>
      <c r="U126" s="82"/>
      <c r="V126" s="82"/>
      <c r="W126" s="82"/>
      <c r="X126" s="82"/>
      <c r="AD126" s="26"/>
      <c r="AE126" s="26"/>
      <c r="AF126" s="26"/>
      <c r="AG126" s="26"/>
      <c r="AH126" s="26"/>
      <c r="AI126" s="26"/>
      <c r="AJ126" s="26"/>
    </row>
    <row r="127">
      <c r="A127" s="20" t="s">
        <v>15</v>
      </c>
      <c r="B127" s="7" t="s">
        <v>54</v>
      </c>
      <c r="C127" s="7">
        <v>27.0</v>
      </c>
      <c r="D127" s="21">
        <v>0.97</v>
      </c>
      <c r="E127" s="59">
        <v>2.55</v>
      </c>
      <c r="F127" s="7">
        <v>0.007</v>
      </c>
      <c r="G127" s="23">
        <v>231.773102030999</v>
      </c>
      <c r="H127" s="24">
        <f t="shared" si="22"/>
        <v>0.6608</v>
      </c>
      <c r="I127" s="25">
        <f t="shared" si="23"/>
        <v>0.4</v>
      </c>
      <c r="J127" s="24">
        <f t="shared" si="24"/>
        <v>0.3957201609</v>
      </c>
      <c r="K127" s="24">
        <f t="shared" si="25"/>
        <v>0.4964155153</v>
      </c>
      <c r="L127" s="24">
        <f t="shared" si="5"/>
        <v>0.9969429721</v>
      </c>
      <c r="O127" s="81"/>
      <c r="P127" s="82"/>
      <c r="Q127" s="82"/>
      <c r="R127" s="82"/>
      <c r="S127" s="82"/>
      <c r="T127" s="82"/>
      <c r="U127" s="82"/>
      <c r="V127" s="82"/>
      <c r="W127" s="82"/>
      <c r="X127" s="82"/>
      <c r="AD127" s="61"/>
    </row>
    <row r="128">
      <c r="A128" s="20" t="s">
        <v>15</v>
      </c>
      <c r="B128" s="7" t="s">
        <v>54</v>
      </c>
      <c r="C128" s="7">
        <v>28.0</v>
      </c>
      <c r="D128" s="21">
        <v>0.97</v>
      </c>
      <c r="E128" s="59">
        <v>2.49</v>
      </c>
      <c r="F128" s="7">
        <v>0.007</v>
      </c>
      <c r="G128" s="23">
        <v>227.093708135999</v>
      </c>
      <c r="H128" s="24">
        <f t="shared" si="22"/>
        <v>0.6608</v>
      </c>
      <c r="I128" s="25">
        <f t="shared" si="23"/>
        <v>0.4</v>
      </c>
      <c r="J128" s="24">
        <f t="shared" si="24"/>
        <v>0.367072994</v>
      </c>
      <c r="K128" s="24">
        <f t="shared" si="25"/>
        <v>0.5068179577</v>
      </c>
      <c r="L128" s="24">
        <f t="shared" si="5"/>
        <v>0.97648071</v>
      </c>
      <c r="O128" s="81"/>
      <c r="P128" s="82"/>
      <c r="Q128" s="82"/>
      <c r="R128" s="82"/>
      <c r="S128" s="82"/>
      <c r="T128" s="82"/>
      <c r="U128" s="82"/>
      <c r="V128" s="82"/>
      <c r="W128" s="82"/>
      <c r="X128" s="82"/>
      <c r="AD128" s="6"/>
      <c r="AE128" s="26"/>
      <c r="AF128" s="55"/>
      <c r="AG128" s="55"/>
      <c r="AH128" s="55"/>
      <c r="AI128" s="55"/>
      <c r="AJ128" s="55"/>
    </row>
    <row r="129">
      <c r="A129" s="20" t="s">
        <v>15</v>
      </c>
      <c r="B129" s="7" t="s">
        <v>54</v>
      </c>
      <c r="C129" s="7">
        <v>29.0</v>
      </c>
      <c r="D129" s="21">
        <v>0.97</v>
      </c>
      <c r="E129" s="59">
        <v>2.64</v>
      </c>
      <c r="F129" s="7">
        <v>0.008</v>
      </c>
      <c r="G129" s="23">
        <v>237.77855662</v>
      </c>
      <c r="H129" s="24">
        <f t="shared" si="22"/>
        <v>0.7552</v>
      </c>
      <c r="I129" s="25">
        <f t="shared" si="23"/>
        <v>0.6</v>
      </c>
      <c r="J129" s="24">
        <f t="shared" si="24"/>
        <v>0.432485448</v>
      </c>
      <c r="K129" s="24">
        <f t="shared" si="25"/>
        <v>0.4232154685</v>
      </c>
      <c r="L129" s="24">
        <f t="shared" si="5"/>
        <v>0.895303405</v>
      </c>
      <c r="O129" s="81"/>
      <c r="P129" s="82"/>
      <c r="Q129" s="82"/>
      <c r="R129" s="82"/>
      <c r="S129" s="82"/>
      <c r="T129" s="82"/>
      <c r="U129" s="82"/>
      <c r="V129" s="82"/>
      <c r="W129" s="82"/>
      <c r="X129" s="82"/>
      <c r="AD129" s="26"/>
      <c r="AE129" s="26"/>
      <c r="AF129" s="26"/>
      <c r="AG129" s="26"/>
      <c r="AH129" s="26"/>
      <c r="AI129" s="26"/>
      <c r="AJ129" s="26"/>
    </row>
    <row r="130">
      <c r="A130" s="20" t="s">
        <v>15</v>
      </c>
      <c r="B130" s="7" t="s">
        <v>54</v>
      </c>
      <c r="C130" s="7">
        <v>30.0</v>
      </c>
      <c r="D130" s="21">
        <v>0.97</v>
      </c>
      <c r="E130" s="59">
        <v>2.43</v>
      </c>
      <c r="F130" s="7">
        <v>0.007</v>
      </c>
      <c r="G130" s="23">
        <v>220.526272877999</v>
      </c>
      <c r="H130" s="24">
        <f t="shared" si="22"/>
        <v>0.6608</v>
      </c>
      <c r="I130" s="25">
        <f t="shared" si="23"/>
        <v>0.4</v>
      </c>
      <c r="J130" s="24">
        <f t="shared" si="24"/>
        <v>0.3268672711</v>
      </c>
      <c r="K130" s="24">
        <f t="shared" si="25"/>
        <v>0.52217517</v>
      </c>
      <c r="L130" s="24">
        <f t="shared" si="5"/>
        <v>0.9477623365</v>
      </c>
      <c r="AD130" s="26"/>
      <c r="AE130" s="26"/>
      <c r="AF130" s="26"/>
      <c r="AG130" s="26"/>
      <c r="AH130" s="26"/>
      <c r="AI130" s="26"/>
      <c r="AJ130" s="26"/>
    </row>
    <row r="131">
      <c r="A131" s="20" t="s">
        <v>15</v>
      </c>
      <c r="B131" s="7" t="s">
        <v>54</v>
      </c>
      <c r="C131" s="7">
        <v>31.0</v>
      </c>
      <c r="D131" s="21">
        <v>0.97</v>
      </c>
      <c r="E131" s="59">
        <v>2.86</v>
      </c>
      <c r="F131" s="7">
        <v>0.008</v>
      </c>
      <c r="G131" s="23">
        <v>258.893488693</v>
      </c>
      <c r="H131" s="24">
        <f t="shared" si="22"/>
        <v>0.7552</v>
      </c>
      <c r="I131" s="25">
        <f t="shared" si="23"/>
        <v>0.6</v>
      </c>
      <c r="J131" s="24">
        <f t="shared" si="24"/>
        <v>0.5617506898</v>
      </c>
      <c r="K131" s="24">
        <f t="shared" si="25"/>
        <v>0.388186158</v>
      </c>
      <c r="L131" s="24">
        <f t="shared" si="5"/>
        <v>0.9760941811</v>
      </c>
      <c r="AD131" s="26"/>
      <c r="AE131" s="26"/>
      <c r="AF131" s="26"/>
      <c r="AG131" s="26"/>
      <c r="AH131" s="26"/>
      <c r="AI131" s="26"/>
      <c r="AJ131" s="26"/>
    </row>
    <row r="132">
      <c r="A132" s="20" t="s">
        <v>15</v>
      </c>
      <c r="B132" s="7" t="s">
        <v>54</v>
      </c>
      <c r="C132" s="7">
        <v>32.0</v>
      </c>
      <c r="D132" s="21">
        <v>0.97</v>
      </c>
      <c r="E132" s="59">
        <v>2.52</v>
      </c>
      <c r="F132" s="7">
        <v>0.007</v>
      </c>
      <c r="G132" s="23">
        <v>229.353993712</v>
      </c>
      <c r="H132" s="24">
        <f t="shared" si="22"/>
        <v>0.6608</v>
      </c>
      <c r="I132" s="25">
        <f t="shared" si="23"/>
        <v>0.4</v>
      </c>
      <c r="J132" s="24">
        <f t="shared" si="24"/>
        <v>0.3809104224</v>
      </c>
      <c r="K132" s="24">
        <f t="shared" si="25"/>
        <v>0.5017393827</v>
      </c>
      <c r="L132" s="24">
        <f t="shared" si="5"/>
        <v>0.9863645874</v>
      </c>
      <c r="AD132" s="26"/>
      <c r="AE132" s="26"/>
      <c r="AF132" s="26"/>
      <c r="AG132" s="26"/>
      <c r="AH132" s="26"/>
      <c r="AI132" s="26"/>
      <c r="AJ132" s="26"/>
    </row>
    <row r="133">
      <c r="A133" s="20" t="s">
        <v>15</v>
      </c>
      <c r="B133" s="7" t="s">
        <v>54</v>
      </c>
      <c r="C133" s="7">
        <v>33.0</v>
      </c>
      <c r="D133" s="21">
        <v>0.97</v>
      </c>
      <c r="E133" s="59">
        <v>1.92</v>
      </c>
      <c r="F133" s="7">
        <v>0.005</v>
      </c>
      <c r="G133" s="23">
        <v>174.766885549</v>
      </c>
      <c r="H133" s="24">
        <f t="shared" si="22"/>
        <v>0.472</v>
      </c>
      <c r="I133" s="25">
        <f t="shared" si="23"/>
        <v>0</v>
      </c>
      <c r="J133" s="24">
        <f t="shared" si="24"/>
        <v>0.04672910875</v>
      </c>
      <c r="K133" s="24">
        <f t="shared" si="25"/>
        <v>0.9266963075</v>
      </c>
      <c r="L133" s="24">
        <f t="shared" si="5"/>
        <v>1.046729109</v>
      </c>
      <c r="AD133" s="26"/>
      <c r="AE133" s="26"/>
      <c r="AF133" s="26"/>
      <c r="AG133" s="26"/>
      <c r="AH133" s="26"/>
      <c r="AI133" s="26"/>
      <c r="AJ133" s="26"/>
    </row>
    <row r="134">
      <c r="A134" s="57" t="s">
        <v>16</v>
      </c>
      <c r="B134" s="58" t="s">
        <v>20</v>
      </c>
      <c r="C134" s="7">
        <v>1.0</v>
      </c>
      <c r="D134" s="21">
        <v>0.85</v>
      </c>
      <c r="E134" s="22">
        <v>1.4</v>
      </c>
      <c r="F134" s="7">
        <v>0.01</v>
      </c>
      <c r="G134" s="23">
        <v>345.530808955</v>
      </c>
      <c r="H134" s="24">
        <f t="shared" ref="H134:H166" si="26">F134*207/5</f>
        <v>0.414</v>
      </c>
      <c r="I134" s="25">
        <f t="shared" ref="I134:I166" si="27">(H134-MIN($H$134:$H$166))/(MAX($H$134:$H$166)-MIN($H$134:$H$166))</f>
        <v>0.2</v>
      </c>
      <c r="J134" s="24">
        <f t="shared" ref="J134:J166" si="28">(G134-MIN($G$134:$G$166))/(MAX($G$134:$G$166)-MIN($G$134:$G$166))</f>
        <v>0.2404885089</v>
      </c>
      <c r="K134" s="24">
        <f t="shared" ref="K134:K166" si="29">0.85*(1/(1+I134))*(1/(1+J134))*(1-0.0414)</f>
        <v>0.5473717237</v>
      </c>
      <c r="L134" s="24">
        <f t="shared" si="5"/>
        <v>1.033740424</v>
      </c>
      <c r="Z134" s="83"/>
      <c r="AD134" s="26"/>
      <c r="AE134" s="26"/>
      <c r="AF134" s="26"/>
      <c r="AG134" s="26"/>
      <c r="AH134" s="26"/>
      <c r="AI134" s="26"/>
      <c r="AJ134" s="26"/>
    </row>
    <row r="135">
      <c r="A135" s="20" t="s">
        <v>16</v>
      </c>
      <c r="B135" s="7" t="s">
        <v>20</v>
      </c>
      <c r="C135" s="7">
        <v>2.0</v>
      </c>
      <c r="D135" s="21">
        <v>0.85</v>
      </c>
      <c r="E135" s="33">
        <v>1.61</v>
      </c>
      <c r="F135" s="7">
        <v>0.012</v>
      </c>
      <c r="G135" s="23">
        <v>389.996487721</v>
      </c>
      <c r="H135" s="24">
        <f t="shared" si="26"/>
        <v>0.4968</v>
      </c>
      <c r="I135" s="25">
        <f t="shared" si="27"/>
        <v>0.4</v>
      </c>
      <c r="J135" s="24">
        <f t="shared" si="28"/>
        <v>0.3856725211</v>
      </c>
      <c r="K135" s="24">
        <f t="shared" si="29"/>
        <v>0.4200178137</v>
      </c>
      <c r="L135" s="24">
        <f t="shared" si="5"/>
        <v>0.9897660865</v>
      </c>
      <c r="Z135" s="84"/>
      <c r="AD135" s="26"/>
      <c r="AE135" s="26"/>
      <c r="AF135" s="26"/>
      <c r="AG135" s="26"/>
      <c r="AH135" s="26"/>
      <c r="AI135" s="26"/>
      <c r="AJ135" s="26"/>
    </row>
    <row r="136">
      <c r="A136" s="20" t="s">
        <v>16</v>
      </c>
      <c r="B136" s="7" t="s">
        <v>20</v>
      </c>
      <c r="C136" s="7">
        <v>3.0</v>
      </c>
      <c r="D136" s="21">
        <v>0.85</v>
      </c>
      <c r="E136" s="22">
        <v>1.2</v>
      </c>
      <c r="F136" s="7">
        <v>0.009</v>
      </c>
      <c r="G136" s="23">
        <v>294.031967922</v>
      </c>
      <c r="H136" s="24">
        <f t="shared" si="26"/>
        <v>0.3726</v>
      </c>
      <c r="I136" s="25">
        <f t="shared" si="27"/>
        <v>0.1</v>
      </c>
      <c r="J136" s="24">
        <f t="shared" si="28"/>
        <v>0.0723406571</v>
      </c>
      <c r="K136" s="24">
        <f t="shared" si="29"/>
        <v>0.6907659042</v>
      </c>
      <c r="L136" s="24">
        <f t="shared" si="5"/>
        <v>0.9748551428</v>
      </c>
      <c r="Z136" s="84"/>
      <c r="AD136" s="26"/>
      <c r="AE136" s="26"/>
      <c r="AF136" s="26"/>
      <c r="AG136" s="26"/>
      <c r="AH136" s="26"/>
      <c r="AI136" s="26"/>
      <c r="AJ136" s="26"/>
    </row>
    <row r="137">
      <c r="A137" s="20" t="s">
        <v>16</v>
      </c>
      <c r="B137" s="7" t="s">
        <v>20</v>
      </c>
      <c r="C137" s="7">
        <v>4.0</v>
      </c>
      <c r="D137" s="21">
        <v>0.85</v>
      </c>
      <c r="E137" s="33">
        <v>2.0</v>
      </c>
      <c r="F137" s="7">
        <v>0.014</v>
      </c>
      <c r="G137" s="23">
        <v>478.055338489</v>
      </c>
      <c r="H137" s="24">
        <f t="shared" si="26"/>
        <v>0.5796</v>
      </c>
      <c r="I137" s="25">
        <f t="shared" si="27"/>
        <v>0.6</v>
      </c>
      <c r="J137" s="24">
        <f t="shared" si="28"/>
        <v>0.6731917408</v>
      </c>
      <c r="K137" s="24">
        <f t="shared" si="29"/>
        <v>0.3043621586</v>
      </c>
      <c r="L137" s="24">
        <f t="shared" si="5"/>
        <v>1.045744838</v>
      </c>
      <c r="Z137" s="84"/>
      <c r="AD137" s="26"/>
      <c r="AE137" s="26"/>
      <c r="AF137" s="26"/>
      <c r="AG137" s="26"/>
      <c r="AH137" s="26"/>
      <c r="AI137" s="26"/>
      <c r="AJ137" s="26"/>
    </row>
    <row r="138">
      <c r="A138" s="20" t="s">
        <v>16</v>
      </c>
      <c r="B138" s="7" t="s">
        <v>20</v>
      </c>
      <c r="C138" s="7">
        <v>5.0</v>
      </c>
      <c r="D138" s="21">
        <v>0.85</v>
      </c>
      <c r="E138" s="22">
        <v>1.99</v>
      </c>
      <c r="F138" s="7">
        <v>0.014</v>
      </c>
      <c r="G138" s="23">
        <v>475.548032874</v>
      </c>
      <c r="H138" s="24">
        <f t="shared" si="26"/>
        <v>0.5796</v>
      </c>
      <c r="I138" s="25">
        <f t="shared" si="27"/>
        <v>0.6</v>
      </c>
      <c r="J138" s="24">
        <f t="shared" si="28"/>
        <v>0.6650051866</v>
      </c>
      <c r="K138" s="24">
        <f t="shared" si="29"/>
        <v>0.3058586568</v>
      </c>
      <c r="L138" s="24">
        <f t="shared" si="5"/>
        <v>1.040628242</v>
      </c>
      <c r="Z138" s="84"/>
      <c r="AD138" s="26"/>
      <c r="AE138" s="26"/>
      <c r="AF138" s="26"/>
      <c r="AG138" s="26"/>
      <c r="AH138" s="26"/>
      <c r="AI138" s="26"/>
      <c r="AJ138" s="26"/>
    </row>
    <row r="139">
      <c r="A139" s="20" t="s">
        <v>16</v>
      </c>
      <c r="B139" s="7" t="s">
        <v>20</v>
      </c>
      <c r="C139" s="7">
        <v>6.0</v>
      </c>
      <c r="D139" s="21">
        <v>0.85</v>
      </c>
      <c r="E139" s="33">
        <v>1.93</v>
      </c>
      <c r="F139" s="7">
        <v>0.014</v>
      </c>
      <c r="G139" s="23">
        <v>463.729386353</v>
      </c>
      <c r="H139" s="24">
        <f t="shared" si="26"/>
        <v>0.5796</v>
      </c>
      <c r="I139" s="25">
        <f t="shared" si="27"/>
        <v>0.6</v>
      </c>
      <c r="J139" s="24">
        <f t="shared" si="28"/>
        <v>0.6264163566</v>
      </c>
      <c r="K139" s="24">
        <f t="shared" si="29"/>
        <v>0.3131155488</v>
      </c>
      <c r="L139" s="24">
        <f t="shared" si="5"/>
        <v>1.016510223</v>
      </c>
      <c r="Z139" s="84"/>
      <c r="AD139" s="26"/>
      <c r="AE139" s="26"/>
      <c r="AF139" s="26"/>
      <c r="AG139" s="26"/>
      <c r="AH139" s="26"/>
      <c r="AI139" s="26"/>
      <c r="AJ139" s="26"/>
    </row>
    <row r="140">
      <c r="A140" s="20" t="s">
        <v>16</v>
      </c>
      <c r="B140" s="7" t="s">
        <v>20</v>
      </c>
      <c r="C140" s="7">
        <v>7.0</v>
      </c>
      <c r="D140" s="21">
        <v>0.85</v>
      </c>
      <c r="E140" s="22">
        <v>1.61</v>
      </c>
      <c r="F140" s="7">
        <v>0.012</v>
      </c>
      <c r="G140" s="23">
        <v>385.392432119999</v>
      </c>
      <c r="H140" s="24">
        <f t="shared" si="26"/>
        <v>0.4968</v>
      </c>
      <c r="I140" s="25">
        <f t="shared" si="27"/>
        <v>0.4</v>
      </c>
      <c r="J140" s="24">
        <f t="shared" si="28"/>
        <v>0.3706399098</v>
      </c>
      <c r="K140" s="24">
        <f t="shared" si="29"/>
        <v>0.4246243953</v>
      </c>
      <c r="L140" s="24">
        <f t="shared" si="5"/>
        <v>0.979028507</v>
      </c>
      <c r="AD140" s="26"/>
      <c r="AE140" s="26"/>
      <c r="AF140" s="26"/>
      <c r="AG140" s="26"/>
      <c r="AH140" s="26"/>
      <c r="AI140" s="26"/>
      <c r="AJ140" s="26"/>
    </row>
    <row r="141">
      <c r="A141" s="20" t="s">
        <v>16</v>
      </c>
      <c r="B141" s="7" t="s">
        <v>20</v>
      </c>
      <c r="C141" s="7">
        <v>8.0</v>
      </c>
      <c r="D141" s="21">
        <v>0.85</v>
      </c>
      <c r="E141" s="33">
        <v>2.45</v>
      </c>
      <c r="F141" s="7">
        <v>0.018</v>
      </c>
      <c r="G141" s="23">
        <v>578.147289762</v>
      </c>
      <c r="H141" s="24">
        <f t="shared" si="26"/>
        <v>0.7452</v>
      </c>
      <c r="I141" s="25">
        <f t="shared" si="27"/>
        <v>1</v>
      </c>
      <c r="J141" s="24">
        <f t="shared" si="28"/>
        <v>1</v>
      </c>
      <c r="K141" s="24">
        <f t="shared" si="29"/>
        <v>0.2037025</v>
      </c>
      <c r="L141" s="24">
        <f t="shared" si="5"/>
        <v>1</v>
      </c>
      <c r="AD141" s="26"/>
      <c r="AE141" s="26"/>
      <c r="AF141" s="26"/>
      <c r="AG141" s="26"/>
      <c r="AH141" s="26"/>
      <c r="AI141" s="26"/>
      <c r="AJ141" s="26"/>
    </row>
    <row r="142">
      <c r="A142" s="20" t="s">
        <v>16</v>
      </c>
      <c r="B142" s="7" t="s">
        <v>20</v>
      </c>
      <c r="C142" s="7">
        <v>9.0</v>
      </c>
      <c r="D142" s="21">
        <v>0.85</v>
      </c>
      <c r="E142" s="22">
        <v>1.15</v>
      </c>
      <c r="F142" s="7">
        <v>0.008</v>
      </c>
      <c r="G142" s="23">
        <v>279.625259174</v>
      </c>
      <c r="H142" s="24">
        <f t="shared" si="26"/>
        <v>0.3312</v>
      </c>
      <c r="I142" s="25">
        <f t="shared" si="27"/>
        <v>0</v>
      </c>
      <c r="J142" s="24">
        <f t="shared" si="28"/>
        <v>0.02530159605</v>
      </c>
      <c r="K142" s="24">
        <f t="shared" si="29"/>
        <v>0.794702752</v>
      </c>
      <c r="L142" s="24">
        <f t="shared" si="5"/>
        <v>1.025301596</v>
      </c>
      <c r="AD142" s="26"/>
      <c r="AE142" s="26"/>
      <c r="AF142" s="26"/>
      <c r="AG142" s="26"/>
      <c r="AH142" s="26"/>
      <c r="AI142" s="26"/>
      <c r="AJ142" s="26"/>
    </row>
    <row r="143">
      <c r="A143" s="20" t="s">
        <v>16</v>
      </c>
      <c r="B143" s="7" t="s">
        <v>20</v>
      </c>
      <c r="C143" s="7">
        <v>10.0</v>
      </c>
      <c r="D143" s="21">
        <v>0.85</v>
      </c>
      <c r="E143" s="33">
        <v>1.28</v>
      </c>
      <c r="F143" s="7">
        <v>0.009</v>
      </c>
      <c r="G143" s="23">
        <v>309.523969828999</v>
      </c>
      <c r="H143" s="24">
        <f t="shared" si="26"/>
        <v>0.3726</v>
      </c>
      <c r="I143" s="25">
        <f t="shared" si="27"/>
        <v>0.1</v>
      </c>
      <c r="J143" s="24">
        <f t="shared" si="28"/>
        <v>0.1229232875</v>
      </c>
      <c r="K143" s="24">
        <f t="shared" si="29"/>
        <v>0.6596500152</v>
      </c>
      <c r="L143" s="24">
        <f t="shared" si="5"/>
        <v>1.020839352</v>
      </c>
      <c r="M143" s="26"/>
      <c r="N143" s="85"/>
      <c r="P143" s="85"/>
      <c r="AD143" s="26"/>
      <c r="AE143" s="26"/>
      <c r="AF143" s="26"/>
      <c r="AG143" s="26"/>
      <c r="AH143" s="26"/>
      <c r="AI143" s="26"/>
      <c r="AJ143" s="26"/>
    </row>
    <row r="144">
      <c r="A144" s="20" t="s">
        <v>16</v>
      </c>
      <c r="B144" s="7" t="s">
        <v>20</v>
      </c>
      <c r="C144" s="7">
        <v>11.0</v>
      </c>
      <c r="D144" s="21">
        <v>0.85</v>
      </c>
      <c r="E144" s="22">
        <v>1.25</v>
      </c>
      <c r="F144" s="7">
        <v>0.009</v>
      </c>
      <c r="G144" s="23">
        <v>304.499766334</v>
      </c>
      <c r="H144" s="24">
        <f t="shared" si="26"/>
        <v>0.3726</v>
      </c>
      <c r="I144" s="25">
        <f t="shared" si="27"/>
        <v>0.1</v>
      </c>
      <c r="J144" s="24">
        <f t="shared" si="28"/>
        <v>0.1065188596</v>
      </c>
      <c r="K144" s="24">
        <f t="shared" si="29"/>
        <v>0.669429497</v>
      </c>
      <c r="L144" s="24">
        <f t="shared" si="5"/>
        <v>1.005926236</v>
      </c>
      <c r="M144" s="86"/>
      <c r="N144" s="87"/>
      <c r="O144" s="87"/>
      <c r="P144" s="87"/>
      <c r="Q144" s="87"/>
      <c r="R144" s="87"/>
      <c r="S144" s="87"/>
      <c r="AD144" s="26"/>
      <c r="AE144" s="26"/>
      <c r="AF144" s="26"/>
      <c r="AG144" s="26"/>
      <c r="AH144" s="26"/>
      <c r="AI144" s="26"/>
      <c r="AJ144" s="26"/>
    </row>
    <row r="145">
      <c r="A145" s="20" t="s">
        <v>16</v>
      </c>
      <c r="B145" s="7" t="s">
        <v>20</v>
      </c>
      <c r="C145" s="7">
        <v>12.0</v>
      </c>
      <c r="D145" s="21">
        <v>0.85</v>
      </c>
      <c r="E145" s="33">
        <v>1.93</v>
      </c>
      <c r="F145" s="7">
        <v>0.014</v>
      </c>
      <c r="G145" s="23">
        <v>456.348479382</v>
      </c>
      <c r="H145" s="24">
        <f t="shared" si="26"/>
        <v>0.5796</v>
      </c>
      <c r="I145" s="25">
        <f t="shared" si="27"/>
        <v>0.6</v>
      </c>
      <c r="J145" s="24">
        <f t="shared" si="28"/>
        <v>0.6023171025</v>
      </c>
      <c r="K145" s="24">
        <f t="shared" si="29"/>
        <v>0.3178248857</v>
      </c>
      <c r="L145" s="24">
        <f t="shared" si="5"/>
        <v>1.001448189</v>
      </c>
      <c r="M145" s="88"/>
      <c r="N145" s="55"/>
      <c r="O145" s="82"/>
      <c r="P145" s="55"/>
      <c r="Q145" s="89"/>
      <c r="R145" s="89"/>
      <c r="S145" s="89"/>
      <c r="AD145" s="26"/>
      <c r="AE145" s="26"/>
      <c r="AF145" s="26"/>
      <c r="AG145" s="26"/>
      <c r="AH145" s="26"/>
      <c r="AI145" s="26"/>
      <c r="AJ145" s="26"/>
    </row>
    <row r="146">
      <c r="A146" s="20" t="s">
        <v>16</v>
      </c>
      <c r="B146" s="7" t="s">
        <v>20</v>
      </c>
      <c r="C146" s="7">
        <v>13.0</v>
      </c>
      <c r="D146" s="21">
        <v>0.85</v>
      </c>
      <c r="E146" s="22">
        <v>1.12</v>
      </c>
      <c r="F146" s="7">
        <v>0.008</v>
      </c>
      <c r="G146" s="23">
        <v>271.876109489</v>
      </c>
      <c r="H146" s="24">
        <f t="shared" si="26"/>
        <v>0.3312</v>
      </c>
      <c r="I146" s="25">
        <f t="shared" si="27"/>
        <v>0</v>
      </c>
      <c r="J146" s="24">
        <f t="shared" si="28"/>
        <v>0</v>
      </c>
      <c r="K146" s="24">
        <f t="shared" si="29"/>
        <v>0.81481</v>
      </c>
      <c r="L146" s="24">
        <f t="shared" si="5"/>
        <v>1</v>
      </c>
      <c r="M146" s="88"/>
      <c r="N146" s="55"/>
      <c r="O146" s="82"/>
      <c r="P146" s="55"/>
      <c r="Q146" s="89"/>
      <c r="R146" s="89"/>
      <c r="S146" s="89"/>
      <c r="AD146" s="26"/>
      <c r="AE146" s="26"/>
      <c r="AF146" s="26"/>
      <c r="AG146" s="26"/>
      <c r="AH146" s="26"/>
      <c r="AI146" s="26"/>
      <c r="AJ146" s="26"/>
    </row>
    <row r="147">
      <c r="A147" s="20" t="s">
        <v>16</v>
      </c>
      <c r="B147" s="7" t="s">
        <v>20</v>
      </c>
      <c r="C147" s="7">
        <v>14.0</v>
      </c>
      <c r="D147" s="21">
        <v>0.85</v>
      </c>
      <c r="E147" s="33">
        <v>1.7</v>
      </c>
      <c r="F147" s="7">
        <v>0.012</v>
      </c>
      <c r="G147" s="23">
        <v>400.217174831</v>
      </c>
      <c r="H147" s="24">
        <f t="shared" si="26"/>
        <v>0.4968</v>
      </c>
      <c r="I147" s="25">
        <f t="shared" si="27"/>
        <v>0.4</v>
      </c>
      <c r="J147" s="24">
        <f t="shared" si="28"/>
        <v>0.4190438853</v>
      </c>
      <c r="K147" s="24">
        <f t="shared" si="29"/>
        <v>0.4101403409</v>
      </c>
      <c r="L147" s="24">
        <f t="shared" si="5"/>
        <v>1.013602775</v>
      </c>
      <c r="M147" s="88"/>
      <c r="N147" s="55"/>
      <c r="O147" s="82"/>
      <c r="P147" s="55"/>
      <c r="Q147" s="89"/>
      <c r="R147" s="89"/>
      <c r="S147" s="89"/>
      <c r="AD147" s="26"/>
      <c r="AE147" s="26"/>
      <c r="AF147" s="26"/>
      <c r="AG147" s="26"/>
      <c r="AH147" s="26"/>
      <c r="AI147" s="26"/>
      <c r="AJ147" s="26"/>
    </row>
    <row r="148">
      <c r="A148" s="20" t="s">
        <v>16</v>
      </c>
      <c r="B148" s="7" t="s">
        <v>20</v>
      </c>
      <c r="C148" s="7">
        <v>15.0</v>
      </c>
      <c r="D148" s="21">
        <v>0.85</v>
      </c>
      <c r="E148" s="22">
        <v>1.74</v>
      </c>
      <c r="F148" s="7">
        <v>0.013</v>
      </c>
      <c r="G148" s="23">
        <v>408.575277127999</v>
      </c>
      <c r="H148" s="24">
        <f t="shared" si="26"/>
        <v>0.5382</v>
      </c>
      <c r="I148" s="25">
        <f t="shared" si="27"/>
        <v>0.5</v>
      </c>
      <c r="J148" s="24">
        <f t="shared" si="28"/>
        <v>0.4463337605</v>
      </c>
      <c r="K148" s="24">
        <f t="shared" si="29"/>
        <v>0.3755749063</v>
      </c>
      <c r="L148" s="24">
        <f t="shared" si="5"/>
        <v>0.964222507</v>
      </c>
      <c r="M148" s="88"/>
      <c r="N148" s="55"/>
      <c r="O148" s="82"/>
      <c r="P148" s="55"/>
      <c r="Q148" s="89"/>
      <c r="R148" s="89"/>
      <c r="S148" s="89"/>
      <c r="AD148" s="26"/>
      <c r="AE148" s="26"/>
      <c r="AF148" s="26"/>
      <c r="AG148" s="26"/>
      <c r="AH148" s="26"/>
      <c r="AI148" s="26"/>
      <c r="AJ148" s="26"/>
    </row>
    <row r="149">
      <c r="A149" s="20" t="s">
        <v>16</v>
      </c>
      <c r="B149" s="7" t="s">
        <v>20</v>
      </c>
      <c r="C149" s="7">
        <v>16.0</v>
      </c>
      <c r="D149" s="21">
        <v>0.85</v>
      </c>
      <c r="E149" s="33">
        <v>1.86</v>
      </c>
      <c r="F149" s="7">
        <v>0.013</v>
      </c>
      <c r="G149" s="23">
        <v>436.875836967999</v>
      </c>
      <c r="H149" s="24">
        <f t="shared" si="26"/>
        <v>0.5382</v>
      </c>
      <c r="I149" s="25">
        <f t="shared" si="27"/>
        <v>0.5</v>
      </c>
      <c r="J149" s="24">
        <f t="shared" si="28"/>
        <v>0.5387373612</v>
      </c>
      <c r="K149" s="24">
        <f t="shared" si="29"/>
        <v>0.353021042</v>
      </c>
      <c r="L149" s="24">
        <f t="shared" si="5"/>
        <v>1.025824907</v>
      </c>
      <c r="M149" s="88"/>
      <c r="N149" s="55"/>
      <c r="O149" s="82"/>
      <c r="P149" s="55"/>
      <c r="Q149" s="89"/>
      <c r="R149" s="89"/>
      <c r="S149" s="89"/>
      <c r="AD149" s="26"/>
      <c r="AE149" s="26"/>
      <c r="AF149" s="26"/>
      <c r="AG149" s="26"/>
      <c r="AH149" s="26"/>
      <c r="AI149" s="26"/>
      <c r="AJ149" s="26"/>
    </row>
    <row r="150">
      <c r="A150" s="20" t="s">
        <v>16</v>
      </c>
      <c r="B150" s="7" t="s">
        <v>20</v>
      </c>
      <c r="C150" s="7">
        <v>17.0</v>
      </c>
      <c r="D150" s="21">
        <v>0.85</v>
      </c>
      <c r="E150" s="22">
        <v>1.23</v>
      </c>
      <c r="F150" s="7">
        <v>0.009</v>
      </c>
      <c r="G150" s="23">
        <v>295.146394992</v>
      </c>
      <c r="H150" s="24">
        <f t="shared" si="26"/>
        <v>0.3726</v>
      </c>
      <c r="I150" s="25">
        <f t="shared" si="27"/>
        <v>0.1</v>
      </c>
      <c r="J150" s="24">
        <f t="shared" si="28"/>
        <v>0.07597935099</v>
      </c>
      <c r="K150" s="24">
        <f t="shared" si="29"/>
        <v>0.6884299062</v>
      </c>
      <c r="L150" s="24">
        <f t="shared" si="5"/>
        <v>0.9781630464</v>
      </c>
      <c r="M150" s="88"/>
      <c r="N150" s="90"/>
      <c r="O150" s="82"/>
      <c r="P150" s="55"/>
      <c r="Q150" s="89"/>
      <c r="R150" s="89"/>
      <c r="S150" s="89"/>
      <c r="AD150" s="26"/>
      <c r="AE150" s="26"/>
      <c r="AF150" s="26"/>
      <c r="AG150" s="26"/>
      <c r="AH150" s="26"/>
      <c r="AI150" s="26"/>
      <c r="AJ150" s="26"/>
    </row>
    <row r="151">
      <c r="A151" s="20" t="s">
        <v>16</v>
      </c>
      <c r="B151" s="7" t="s">
        <v>20</v>
      </c>
      <c r="C151" s="7">
        <v>18.0</v>
      </c>
      <c r="D151" s="21">
        <v>0.85</v>
      </c>
      <c r="E151" s="33">
        <v>1.44</v>
      </c>
      <c r="F151" s="7">
        <v>0.01</v>
      </c>
      <c r="G151" s="23">
        <v>342.997303085999</v>
      </c>
      <c r="H151" s="24">
        <f t="shared" si="26"/>
        <v>0.414</v>
      </c>
      <c r="I151" s="25">
        <f t="shared" si="27"/>
        <v>0.2</v>
      </c>
      <c r="J151" s="24">
        <f t="shared" si="28"/>
        <v>0.2322164088</v>
      </c>
      <c r="K151" s="24">
        <f t="shared" si="29"/>
        <v>0.5510463328</v>
      </c>
      <c r="L151" s="24">
        <f t="shared" si="5"/>
        <v>1.026847007</v>
      </c>
      <c r="AD151" s="26"/>
      <c r="AE151" s="26"/>
      <c r="AF151" s="26"/>
      <c r="AG151" s="26"/>
      <c r="AH151" s="26"/>
      <c r="AI151" s="26"/>
      <c r="AJ151" s="26"/>
    </row>
    <row r="152">
      <c r="A152" s="20" t="s">
        <v>16</v>
      </c>
      <c r="B152" s="7" t="s">
        <v>20</v>
      </c>
      <c r="C152" s="7">
        <v>19.0</v>
      </c>
      <c r="D152" s="21">
        <v>0.85</v>
      </c>
      <c r="E152" s="22">
        <v>1.37</v>
      </c>
      <c r="F152" s="7">
        <v>0.01</v>
      </c>
      <c r="G152" s="23">
        <v>327.277342204999</v>
      </c>
      <c r="H152" s="24">
        <f t="shared" si="26"/>
        <v>0.414</v>
      </c>
      <c r="I152" s="25">
        <f t="shared" si="27"/>
        <v>0.2</v>
      </c>
      <c r="J152" s="24">
        <f t="shared" si="28"/>
        <v>0.180889474</v>
      </c>
      <c r="K152" s="24">
        <f t="shared" si="29"/>
        <v>0.5749973628</v>
      </c>
      <c r="L152" s="24">
        <f t="shared" si="5"/>
        <v>0.9840745617</v>
      </c>
      <c r="AD152" s="26"/>
      <c r="AE152" s="26"/>
      <c r="AF152" s="26"/>
      <c r="AG152" s="26"/>
      <c r="AH152" s="26"/>
      <c r="AI152" s="26"/>
      <c r="AJ152" s="26"/>
    </row>
    <row r="153">
      <c r="A153" s="20" t="s">
        <v>16</v>
      </c>
      <c r="B153" s="7" t="s">
        <v>20</v>
      </c>
      <c r="C153" s="7">
        <v>20.0</v>
      </c>
      <c r="D153" s="21">
        <v>0.85</v>
      </c>
      <c r="E153" s="33">
        <v>1.16</v>
      </c>
      <c r="F153" s="7">
        <v>0.008</v>
      </c>
      <c r="G153" s="23">
        <v>276.852437089</v>
      </c>
      <c r="H153" s="24">
        <f t="shared" si="26"/>
        <v>0.3312</v>
      </c>
      <c r="I153" s="25">
        <f t="shared" si="27"/>
        <v>0</v>
      </c>
      <c r="J153" s="24">
        <f t="shared" si="28"/>
        <v>0.01624810926</v>
      </c>
      <c r="K153" s="24">
        <f t="shared" si="29"/>
        <v>0.8017825495</v>
      </c>
      <c r="L153" s="24">
        <f t="shared" si="5"/>
        <v>1.016248109</v>
      </c>
      <c r="AD153" s="26"/>
      <c r="AE153" s="26"/>
      <c r="AF153" s="26"/>
      <c r="AG153" s="26"/>
      <c r="AH153" s="26"/>
      <c r="AI153" s="26"/>
      <c r="AJ153" s="26"/>
    </row>
    <row r="154">
      <c r="A154" s="20" t="s">
        <v>16</v>
      </c>
      <c r="B154" s="7" t="s">
        <v>20</v>
      </c>
      <c r="C154" s="7">
        <v>21.0</v>
      </c>
      <c r="D154" s="21">
        <v>0.85</v>
      </c>
      <c r="E154" s="22">
        <v>1.91</v>
      </c>
      <c r="F154" s="7">
        <v>0.014</v>
      </c>
      <c r="G154" s="23">
        <v>456.043856488</v>
      </c>
      <c r="H154" s="24">
        <f t="shared" si="26"/>
        <v>0.5796</v>
      </c>
      <c r="I154" s="25">
        <f t="shared" si="27"/>
        <v>0.6</v>
      </c>
      <c r="J154" s="24">
        <f t="shared" si="28"/>
        <v>0.6013224843</v>
      </c>
      <c r="K154" s="24">
        <f t="shared" si="29"/>
        <v>0.3180222941</v>
      </c>
      <c r="L154" s="24">
        <f t="shared" si="5"/>
        <v>1.000826553</v>
      </c>
      <c r="AD154" s="26"/>
      <c r="AE154" s="26"/>
      <c r="AF154" s="26"/>
      <c r="AG154" s="26"/>
      <c r="AH154" s="26"/>
      <c r="AI154" s="26"/>
      <c r="AJ154" s="26"/>
    </row>
    <row r="155">
      <c r="A155" s="20" t="s">
        <v>16</v>
      </c>
      <c r="B155" s="7" t="s">
        <v>20</v>
      </c>
      <c r="C155" s="7">
        <v>22.0</v>
      </c>
      <c r="D155" s="21">
        <v>0.85</v>
      </c>
      <c r="E155" s="33">
        <v>1.43</v>
      </c>
      <c r="F155" s="7">
        <v>0.01</v>
      </c>
      <c r="G155" s="23">
        <v>333.753400969</v>
      </c>
      <c r="H155" s="24">
        <f t="shared" si="26"/>
        <v>0.414</v>
      </c>
      <c r="I155" s="25">
        <f t="shared" si="27"/>
        <v>0.2</v>
      </c>
      <c r="J155" s="24">
        <f t="shared" si="28"/>
        <v>0.202034326</v>
      </c>
      <c r="K155" s="24">
        <f t="shared" si="29"/>
        <v>0.5648826482</v>
      </c>
      <c r="L155" s="24">
        <f t="shared" si="5"/>
        <v>1.001695272</v>
      </c>
      <c r="AD155" s="26"/>
      <c r="AE155" s="26"/>
      <c r="AF155" s="26"/>
      <c r="AG155" s="26"/>
      <c r="AH155" s="26"/>
      <c r="AI155" s="26"/>
      <c r="AJ155" s="26"/>
    </row>
    <row r="156">
      <c r="A156" s="20" t="s">
        <v>16</v>
      </c>
      <c r="B156" s="7" t="s">
        <v>20</v>
      </c>
      <c r="C156" s="7">
        <v>23.0</v>
      </c>
      <c r="D156" s="21">
        <v>0.85</v>
      </c>
      <c r="E156" s="22">
        <v>1.58</v>
      </c>
      <c r="F156" s="7">
        <v>0.011</v>
      </c>
      <c r="G156" s="23">
        <v>373.645036108999</v>
      </c>
      <c r="H156" s="24">
        <f t="shared" si="26"/>
        <v>0.4554</v>
      </c>
      <c r="I156" s="25">
        <f t="shared" si="27"/>
        <v>0.3</v>
      </c>
      <c r="J156" s="24">
        <f t="shared" si="28"/>
        <v>0.3322837184</v>
      </c>
      <c r="K156" s="24">
        <f t="shared" si="29"/>
        <v>0.4704530382</v>
      </c>
      <c r="L156" s="24">
        <f t="shared" si="5"/>
        <v>1.02483363</v>
      </c>
      <c r="AD156" s="26"/>
      <c r="AE156" s="26"/>
      <c r="AF156" s="26"/>
      <c r="AG156" s="26"/>
      <c r="AH156" s="26"/>
      <c r="AI156" s="26"/>
      <c r="AJ156" s="26"/>
    </row>
    <row r="157">
      <c r="A157" s="20" t="s">
        <v>16</v>
      </c>
      <c r="B157" s="7" t="s">
        <v>20</v>
      </c>
      <c r="C157" s="7">
        <v>24.0</v>
      </c>
      <c r="D157" s="21">
        <v>0.85</v>
      </c>
      <c r="E157" s="33">
        <v>1.86</v>
      </c>
      <c r="F157" s="7">
        <v>0.013</v>
      </c>
      <c r="G157" s="23">
        <v>433.003393496999</v>
      </c>
      <c r="H157" s="24">
        <f t="shared" si="26"/>
        <v>0.5382</v>
      </c>
      <c r="I157" s="25">
        <f t="shared" si="27"/>
        <v>0.5</v>
      </c>
      <c r="J157" s="24">
        <f t="shared" si="28"/>
        <v>0.5260935223</v>
      </c>
      <c r="K157" s="24">
        <f t="shared" si="29"/>
        <v>0.355945857</v>
      </c>
      <c r="L157" s="24">
        <f t="shared" si="5"/>
        <v>1.017395682</v>
      </c>
      <c r="AD157" s="26"/>
      <c r="AE157" s="26"/>
      <c r="AF157" s="26"/>
      <c r="AG157" s="26"/>
      <c r="AH157" s="26"/>
      <c r="AI157" s="26"/>
      <c r="AJ157" s="26"/>
    </row>
    <row r="158">
      <c r="A158" s="20" t="s">
        <v>16</v>
      </c>
      <c r="B158" s="7" t="s">
        <v>20</v>
      </c>
      <c r="C158" s="7">
        <v>25.0</v>
      </c>
      <c r="D158" s="21">
        <v>0.85</v>
      </c>
      <c r="E158" s="22">
        <v>1.5</v>
      </c>
      <c r="F158" s="7">
        <v>0.011</v>
      </c>
      <c r="G158" s="23">
        <v>353.15636301</v>
      </c>
      <c r="H158" s="24">
        <f t="shared" si="26"/>
        <v>0.4554</v>
      </c>
      <c r="I158" s="25">
        <f t="shared" si="27"/>
        <v>0.3</v>
      </c>
      <c r="J158" s="24">
        <f t="shared" si="28"/>
        <v>0.2653865553</v>
      </c>
      <c r="K158" s="24">
        <f t="shared" si="29"/>
        <v>0.4953244686</v>
      </c>
      <c r="L158" s="24">
        <f t="shared" si="5"/>
        <v>0.9733742733</v>
      </c>
      <c r="AD158" s="26"/>
      <c r="AE158" s="26"/>
      <c r="AF158" s="26"/>
      <c r="AG158" s="26"/>
      <c r="AH158" s="26"/>
      <c r="AI158" s="26"/>
      <c r="AJ158" s="26"/>
    </row>
    <row r="159">
      <c r="A159" s="20" t="s">
        <v>16</v>
      </c>
      <c r="B159" s="7" t="s">
        <v>20</v>
      </c>
      <c r="C159" s="7">
        <v>26.0</v>
      </c>
      <c r="D159" s="21">
        <v>0.85</v>
      </c>
      <c r="E159" s="33">
        <v>2.05</v>
      </c>
      <c r="F159" s="7">
        <v>0.015</v>
      </c>
      <c r="G159" s="23">
        <v>473.78621093</v>
      </c>
      <c r="H159" s="24">
        <f t="shared" si="26"/>
        <v>0.621</v>
      </c>
      <c r="I159" s="25">
        <f t="shared" si="27"/>
        <v>0.7</v>
      </c>
      <c r="J159" s="24">
        <f t="shared" si="28"/>
        <v>0.6592526965</v>
      </c>
      <c r="K159" s="24">
        <f t="shared" si="29"/>
        <v>0.2888649818</v>
      </c>
      <c r="L159" s="24">
        <f t="shared" si="5"/>
        <v>0.9760309979</v>
      </c>
      <c r="X159" s="91" t="s">
        <v>12</v>
      </c>
      <c r="Y159" s="92" t="s">
        <v>55</v>
      </c>
      <c r="Z159" s="92" t="s">
        <v>56</v>
      </c>
      <c r="AD159" s="26"/>
      <c r="AE159" s="26"/>
      <c r="AF159" s="26"/>
      <c r="AG159" s="26"/>
      <c r="AH159" s="26"/>
      <c r="AI159" s="26"/>
      <c r="AJ159" s="26"/>
    </row>
    <row r="160">
      <c r="A160" s="20" t="s">
        <v>16</v>
      </c>
      <c r="B160" s="7" t="s">
        <v>20</v>
      </c>
      <c r="C160" s="7">
        <v>27.0</v>
      </c>
      <c r="D160" s="21">
        <v>0.85</v>
      </c>
      <c r="E160" s="22">
        <v>1.31</v>
      </c>
      <c r="F160" s="7">
        <v>0.009</v>
      </c>
      <c r="G160" s="23">
        <v>308.638591252</v>
      </c>
      <c r="H160" s="24">
        <f t="shared" si="26"/>
        <v>0.3726</v>
      </c>
      <c r="I160" s="25">
        <f t="shared" si="27"/>
        <v>0.1</v>
      </c>
      <c r="J160" s="24">
        <f t="shared" si="28"/>
        <v>0.1200324553</v>
      </c>
      <c r="K160" s="24">
        <f t="shared" si="29"/>
        <v>0.6613525886</v>
      </c>
      <c r="L160" s="24">
        <f t="shared" si="5"/>
        <v>1.018211323</v>
      </c>
      <c r="X160" s="20" t="s">
        <v>15</v>
      </c>
      <c r="Y160" s="24" t="str">
        <f t="shared" ref="Y160:Y164" si="30">AVERAGE(#REF!,#REF!)</f>
        <v>#REF!</v>
      </c>
      <c r="Z160" s="24" t="str">
        <f>AVERAGE(#REF!,S21)</f>
        <v>#REF!</v>
      </c>
      <c r="AD160" s="26"/>
      <c r="AE160" s="26"/>
      <c r="AF160" s="26"/>
      <c r="AG160" s="26"/>
      <c r="AH160" s="26"/>
      <c r="AI160" s="26"/>
      <c r="AJ160" s="26"/>
    </row>
    <row r="161">
      <c r="A161" s="20" t="s">
        <v>16</v>
      </c>
      <c r="B161" s="7" t="s">
        <v>20</v>
      </c>
      <c r="C161" s="7">
        <v>28.0</v>
      </c>
      <c r="D161" s="21">
        <v>0.85</v>
      </c>
      <c r="E161" s="33">
        <v>1.88</v>
      </c>
      <c r="F161" s="7">
        <v>0.014</v>
      </c>
      <c r="G161" s="23">
        <v>444.617010867999</v>
      </c>
      <c r="H161" s="24">
        <f t="shared" si="26"/>
        <v>0.5796</v>
      </c>
      <c r="I161" s="25">
        <f t="shared" si="27"/>
        <v>0.6</v>
      </c>
      <c r="J161" s="24">
        <f t="shared" si="28"/>
        <v>0.5640129157</v>
      </c>
      <c r="K161" s="24">
        <f t="shared" si="29"/>
        <v>0.3256087241</v>
      </c>
      <c r="L161" s="24">
        <f t="shared" si="5"/>
        <v>0.9775080723</v>
      </c>
      <c r="X161" s="20" t="s">
        <v>16</v>
      </c>
      <c r="Y161" s="24" t="str">
        <f t="shared" si="30"/>
        <v>#REF!</v>
      </c>
      <c r="Z161" s="24" t="str">
        <f>AVERAGE(S22,S25)</f>
        <v>#DIV/0!</v>
      </c>
      <c r="AD161" s="26"/>
      <c r="AE161" s="26"/>
      <c r="AF161" s="26"/>
      <c r="AG161" s="26"/>
      <c r="AH161" s="26"/>
      <c r="AI161" s="26"/>
      <c r="AJ161" s="26"/>
    </row>
    <row r="162">
      <c r="A162" s="20" t="s">
        <v>16</v>
      </c>
      <c r="B162" s="7" t="s">
        <v>20</v>
      </c>
      <c r="C162" s="7">
        <v>29.0</v>
      </c>
      <c r="D162" s="21">
        <v>0.85</v>
      </c>
      <c r="E162" s="22">
        <v>1.47</v>
      </c>
      <c r="F162" s="7">
        <v>0.011</v>
      </c>
      <c r="G162" s="23">
        <v>341.325634307</v>
      </c>
      <c r="H162" s="24">
        <f t="shared" si="26"/>
        <v>0.4554</v>
      </c>
      <c r="I162" s="25">
        <f t="shared" si="27"/>
        <v>0.3</v>
      </c>
      <c r="J162" s="24">
        <f t="shared" si="28"/>
        <v>0.226758276</v>
      </c>
      <c r="K162" s="24">
        <f t="shared" si="29"/>
        <v>0.5109212918</v>
      </c>
      <c r="L162" s="24">
        <f t="shared" si="5"/>
        <v>0.9436602123</v>
      </c>
      <c r="X162" s="20" t="s">
        <v>17</v>
      </c>
      <c r="Y162" s="24" t="str">
        <f t="shared" si="30"/>
        <v>#REF!</v>
      </c>
      <c r="Z162" s="24" t="str">
        <f>AVERAGE(S26,S29)</f>
        <v>#DIV/0!</v>
      </c>
      <c r="AD162" s="26"/>
      <c r="AE162" s="26"/>
      <c r="AF162" s="26"/>
      <c r="AG162" s="26"/>
      <c r="AH162" s="26"/>
      <c r="AI162" s="26"/>
      <c r="AJ162" s="26"/>
    </row>
    <row r="163">
      <c r="A163" s="20" t="s">
        <v>16</v>
      </c>
      <c r="B163" s="7" t="s">
        <v>20</v>
      </c>
      <c r="C163" s="7">
        <v>30.0</v>
      </c>
      <c r="D163" s="21">
        <v>0.85</v>
      </c>
      <c r="E163" s="33">
        <v>1.3</v>
      </c>
      <c r="F163" s="7">
        <v>0.009</v>
      </c>
      <c r="G163" s="23">
        <v>307.506940084</v>
      </c>
      <c r="H163" s="24">
        <f t="shared" si="26"/>
        <v>0.3726</v>
      </c>
      <c r="I163" s="25">
        <f t="shared" si="27"/>
        <v>0.1</v>
      </c>
      <c r="J163" s="24">
        <f t="shared" si="28"/>
        <v>0.1163375234</v>
      </c>
      <c r="K163" s="24">
        <f t="shared" si="29"/>
        <v>0.6635415796</v>
      </c>
      <c r="L163" s="24">
        <f t="shared" si="5"/>
        <v>1.014852294</v>
      </c>
      <c r="X163" s="20" t="s">
        <v>18</v>
      </c>
      <c r="Y163" s="24" t="str">
        <f t="shared" si="30"/>
        <v>#REF!</v>
      </c>
      <c r="Z163" s="24" t="str">
        <f>AVERAGE(S30,S33)</f>
        <v>#DIV/0!</v>
      </c>
    </row>
    <row r="164">
      <c r="A164" s="20" t="s">
        <v>16</v>
      </c>
      <c r="B164" s="7" t="s">
        <v>20</v>
      </c>
      <c r="C164" s="7">
        <v>31.0</v>
      </c>
      <c r="D164" s="21">
        <v>0.85</v>
      </c>
      <c r="E164" s="22">
        <v>1.55</v>
      </c>
      <c r="F164" s="7">
        <v>0.011</v>
      </c>
      <c r="G164" s="23">
        <v>365.187919997999</v>
      </c>
      <c r="H164" s="24">
        <f t="shared" si="26"/>
        <v>0.4554</v>
      </c>
      <c r="I164" s="25">
        <f t="shared" si="27"/>
        <v>0.3</v>
      </c>
      <c r="J164" s="24">
        <f t="shared" si="28"/>
        <v>0.3046705551</v>
      </c>
      <c r="K164" s="24">
        <f t="shared" si="29"/>
        <v>0.4804101086</v>
      </c>
      <c r="L164" s="24">
        <f t="shared" si="5"/>
        <v>1.003592735</v>
      </c>
      <c r="X164" s="20" t="s">
        <v>19</v>
      </c>
      <c r="Y164" s="24" t="str">
        <f t="shared" si="30"/>
        <v>#REF!</v>
      </c>
      <c r="Z164" s="24" t="str">
        <f>AVERAGE(S34,S37)</f>
        <v>#DIV/0!</v>
      </c>
      <c r="AD164" s="61"/>
    </row>
    <row r="165">
      <c r="A165" s="20" t="s">
        <v>16</v>
      </c>
      <c r="B165" s="7" t="s">
        <v>20</v>
      </c>
      <c r="C165" s="7">
        <v>32.0</v>
      </c>
      <c r="D165" s="21">
        <v>0.85</v>
      </c>
      <c r="E165" s="33">
        <v>1.51</v>
      </c>
      <c r="F165" s="7">
        <v>0.011</v>
      </c>
      <c r="G165" s="23">
        <v>358.968220523</v>
      </c>
      <c r="H165" s="24">
        <f t="shared" si="26"/>
        <v>0.4554</v>
      </c>
      <c r="I165" s="25">
        <f t="shared" si="27"/>
        <v>0.3</v>
      </c>
      <c r="J165" s="24">
        <f t="shared" si="28"/>
        <v>0.2843627368</v>
      </c>
      <c r="K165" s="24">
        <f t="shared" si="29"/>
        <v>0.4880061568</v>
      </c>
      <c r="L165" s="24">
        <f t="shared" si="5"/>
        <v>0.987971336</v>
      </c>
      <c r="AD165" s="6"/>
      <c r="AE165" s="26"/>
      <c r="AF165" s="55"/>
      <c r="AG165" s="55"/>
      <c r="AH165" s="55"/>
      <c r="AI165" s="55"/>
      <c r="AJ165" s="55"/>
    </row>
    <row r="166">
      <c r="A166" s="20" t="s">
        <v>16</v>
      </c>
      <c r="B166" s="7" t="s">
        <v>20</v>
      </c>
      <c r="C166" s="7">
        <v>33.0</v>
      </c>
      <c r="D166" s="21">
        <v>0.85</v>
      </c>
      <c r="E166" s="22">
        <v>1.17</v>
      </c>
      <c r="F166" s="7">
        <v>0.008</v>
      </c>
      <c r="G166" s="23">
        <v>280.197271364</v>
      </c>
      <c r="H166" s="24">
        <f t="shared" si="26"/>
        <v>0.3312</v>
      </c>
      <c r="I166" s="25">
        <f t="shared" si="27"/>
        <v>0</v>
      </c>
      <c r="J166" s="24">
        <f t="shared" si="28"/>
        <v>0.02716926179</v>
      </c>
      <c r="K166" s="24">
        <f t="shared" si="29"/>
        <v>0.7932577719</v>
      </c>
      <c r="L166" s="24">
        <f t="shared" si="5"/>
        <v>1.027169262</v>
      </c>
      <c r="AD166" s="26"/>
      <c r="AE166" s="26"/>
      <c r="AF166" s="26"/>
      <c r="AG166" s="26"/>
      <c r="AH166" s="26"/>
      <c r="AI166" s="26"/>
      <c r="AJ166" s="26"/>
    </row>
    <row r="167">
      <c r="A167" s="57" t="s">
        <v>16</v>
      </c>
      <c r="B167" s="58" t="s">
        <v>39</v>
      </c>
      <c r="C167" s="7">
        <v>1.0</v>
      </c>
      <c r="D167" s="21">
        <v>0.88</v>
      </c>
      <c r="E167" s="74">
        <v>6.26</v>
      </c>
      <c r="F167" s="7">
        <v>0.018</v>
      </c>
      <c r="G167" s="23">
        <v>627.267757198</v>
      </c>
      <c r="H167" s="24">
        <f t="shared" ref="H167:H232" si="31">F167*472/5</f>
        <v>1.6992</v>
      </c>
      <c r="I167" s="25">
        <f t="shared" ref="I167:I199" si="32">(H167-MIN($H$167:$H$199))/(MAX($H$167:$H$199)-MIN($H$167:$H$199))</f>
        <v>0.4210526316</v>
      </c>
      <c r="J167" s="24">
        <f t="shared" ref="J167:J199" si="33">(G167-MIN($G$167:$G$199))/(MAX($G$167:$G$199)-MIN($G$167:$G$199))</f>
        <v>0.4674475913</v>
      </c>
      <c r="K167" s="24">
        <f t="shared" ref="K167:K199" si="34">0.88*(1/(1+I167))*(1/(1+J167))*(1-0.3776)</f>
        <v>0.2626512628</v>
      </c>
      <c r="L167" s="24">
        <f t="shared" si="5"/>
        <v>1.032648305</v>
      </c>
      <c r="AD167" s="26"/>
      <c r="AE167" s="26"/>
      <c r="AF167" s="26"/>
      <c r="AG167" s="26"/>
      <c r="AH167" s="26"/>
      <c r="AI167" s="26"/>
      <c r="AJ167" s="26"/>
    </row>
    <row r="168">
      <c r="A168" s="20" t="s">
        <v>16</v>
      </c>
      <c r="B168" s="7" t="s">
        <v>39</v>
      </c>
      <c r="C168" s="7">
        <v>2.0</v>
      </c>
      <c r="D168" s="21">
        <v>0.88</v>
      </c>
      <c r="E168" s="74">
        <v>5.22</v>
      </c>
      <c r="F168" s="7">
        <v>0.015</v>
      </c>
      <c r="G168" s="23">
        <v>522.651273362999</v>
      </c>
      <c r="H168" s="24">
        <f t="shared" si="31"/>
        <v>1.416</v>
      </c>
      <c r="I168" s="25">
        <f t="shared" si="32"/>
        <v>0.2631578947</v>
      </c>
      <c r="J168" s="24">
        <f t="shared" si="33"/>
        <v>0.302914866</v>
      </c>
      <c r="K168" s="24">
        <f t="shared" si="34"/>
        <v>0.3327963666</v>
      </c>
      <c r="L168" s="24">
        <f t="shared" si="5"/>
        <v>1.031474269</v>
      </c>
      <c r="AD168" s="26"/>
      <c r="AE168" s="26"/>
      <c r="AF168" s="26"/>
      <c r="AG168" s="26"/>
      <c r="AH168" s="26"/>
      <c r="AI168" s="26"/>
      <c r="AJ168" s="26"/>
    </row>
    <row r="169">
      <c r="A169" s="20" t="s">
        <v>16</v>
      </c>
      <c r="B169" s="7" t="s">
        <v>39</v>
      </c>
      <c r="C169" s="7">
        <v>3.0</v>
      </c>
      <c r="D169" s="21">
        <v>0.88</v>
      </c>
      <c r="E169" s="74">
        <v>4.79</v>
      </c>
      <c r="F169" s="7">
        <v>0.014</v>
      </c>
      <c r="G169" s="23">
        <v>481.06324137</v>
      </c>
      <c r="H169" s="24">
        <f t="shared" si="31"/>
        <v>1.3216</v>
      </c>
      <c r="I169" s="25">
        <f t="shared" si="32"/>
        <v>0.2105263158</v>
      </c>
      <c r="J169" s="24">
        <f t="shared" si="33"/>
        <v>0.2375084215</v>
      </c>
      <c r="K169" s="24">
        <f t="shared" si="34"/>
        <v>0.3656199273</v>
      </c>
      <c r="L169" s="24">
        <f t="shared" si="5"/>
        <v>1.022289566</v>
      </c>
      <c r="AD169" s="26"/>
      <c r="AE169" s="26"/>
      <c r="AF169" s="26"/>
      <c r="AG169" s="26"/>
      <c r="AH169" s="26"/>
      <c r="AI169" s="26"/>
      <c r="AJ169" s="26"/>
    </row>
    <row r="170">
      <c r="A170" s="20" t="s">
        <v>16</v>
      </c>
      <c r="B170" s="7" t="s">
        <v>39</v>
      </c>
      <c r="C170" s="7">
        <v>4.0</v>
      </c>
      <c r="D170" s="21">
        <v>0.88</v>
      </c>
      <c r="E170" s="74">
        <v>4.96</v>
      </c>
      <c r="F170" s="7">
        <v>0.014</v>
      </c>
      <c r="G170" s="23">
        <v>481.202577526999</v>
      </c>
      <c r="H170" s="24">
        <f t="shared" si="31"/>
        <v>1.3216</v>
      </c>
      <c r="I170" s="25">
        <f t="shared" si="32"/>
        <v>0.2105263158</v>
      </c>
      <c r="J170" s="24">
        <f t="shared" si="33"/>
        <v>0.2377275586</v>
      </c>
      <c r="K170" s="24">
        <f t="shared" si="34"/>
        <v>0.3655551951</v>
      </c>
      <c r="L170" s="24">
        <f t="shared" si="5"/>
        <v>1.022470592</v>
      </c>
      <c r="AD170" s="26"/>
      <c r="AE170" s="26"/>
      <c r="AF170" s="26"/>
      <c r="AG170" s="26"/>
      <c r="AH170" s="26"/>
      <c r="AI170" s="26"/>
      <c r="AJ170" s="26"/>
    </row>
    <row r="171">
      <c r="A171" s="20" t="s">
        <v>16</v>
      </c>
      <c r="B171" s="7" t="s">
        <v>39</v>
      </c>
      <c r="C171" s="7">
        <v>5.0</v>
      </c>
      <c r="D171" s="21">
        <v>0.88</v>
      </c>
      <c r="E171" s="74">
        <v>7.51</v>
      </c>
      <c r="F171" s="7">
        <v>0.022</v>
      </c>
      <c r="G171" s="23">
        <v>715.828163815</v>
      </c>
      <c r="H171" s="24">
        <f t="shared" si="31"/>
        <v>2.0768</v>
      </c>
      <c r="I171" s="25">
        <f t="shared" si="32"/>
        <v>0.6315789474</v>
      </c>
      <c r="J171" s="24">
        <f t="shared" si="33"/>
        <v>0.6067285585</v>
      </c>
      <c r="K171" s="24">
        <f t="shared" si="34"/>
        <v>0.208930407</v>
      </c>
      <c r="L171" s="24">
        <f t="shared" si="5"/>
        <v>0.9847691165</v>
      </c>
      <c r="AD171" s="26"/>
      <c r="AE171" s="26"/>
      <c r="AF171" s="26"/>
      <c r="AG171" s="26"/>
      <c r="AH171" s="26"/>
      <c r="AI171" s="26"/>
      <c r="AJ171" s="26"/>
    </row>
    <row r="172">
      <c r="A172" s="20" t="s">
        <v>16</v>
      </c>
      <c r="B172" s="7" t="s">
        <v>39</v>
      </c>
      <c r="C172" s="7">
        <v>6.0</v>
      </c>
      <c r="D172" s="21">
        <v>0.88</v>
      </c>
      <c r="E172" s="74">
        <v>3.95</v>
      </c>
      <c r="F172" s="7">
        <v>0.011</v>
      </c>
      <c r="G172" s="23">
        <v>385.567718862999</v>
      </c>
      <c r="H172" s="24">
        <f t="shared" si="31"/>
        <v>1.0384</v>
      </c>
      <c r="I172" s="25">
        <f t="shared" si="32"/>
        <v>0.05263157895</v>
      </c>
      <c r="J172" s="24">
        <f t="shared" si="33"/>
        <v>0.08732043964</v>
      </c>
      <c r="K172" s="24">
        <f t="shared" si="34"/>
        <v>0.4785400706</v>
      </c>
      <c r="L172" s="24">
        <f t="shared" si="5"/>
        <v>1.032954418</v>
      </c>
      <c r="AD172" s="26"/>
      <c r="AE172" s="26"/>
      <c r="AF172" s="26"/>
      <c r="AG172" s="26"/>
      <c r="AH172" s="26"/>
      <c r="AI172" s="26"/>
      <c r="AJ172" s="26"/>
    </row>
    <row r="173">
      <c r="A173" s="20" t="s">
        <v>16</v>
      </c>
      <c r="B173" s="7" t="s">
        <v>39</v>
      </c>
      <c r="C173" s="7">
        <v>7.0</v>
      </c>
      <c r="D173" s="21">
        <v>0.88</v>
      </c>
      <c r="E173" s="74">
        <v>4.13</v>
      </c>
      <c r="F173" s="7">
        <v>0.012</v>
      </c>
      <c r="G173" s="23">
        <v>399.457745783</v>
      </c>
      <c r="H173" s="24">
        <f t="shared" si="31"/>
        <v>1.1328</v>
      </c>
      <c r="I173" s="25">
        <f t="shared" si="32"/>
        <v>0.1052631579</v>
      </c>
      <c r="J173" s="24">
        <f t="shared" si="33"/>
        <v>0.1091656011</v>
      </c>
      <c r="K173" s="24">
        <f t="shared" si="34"/>
        <v>0.4467763442</v>
      </c>
      <c r="L173" s="24">
        <f t="shared" si="5"/>
        <v>1.003530782</v>
      </c>
      <c r="AD173" s="26"/>
      <c r="AE173" s="26"/>
      <c r="AF173" s="26"/>
      <c r="AG173" s="26"/>
      <c r="AH173" s="26"/>
      <c r="AI173" s="26"/>
      <c r="AJ173" s="26"/>
    </row>
    <row r="174">
      <c r="A174" s="20" t="s">
        <v>16</v>
      </c>
      <c r="B174" s="7" t="s">
        <v>39</v>
      </c>
      <c r="C174" s="7">
        <v>8.0</v>
      </c>
      <c r="D174" s="21">
        <v>0.88</v>
      </c>
      <c r="E174" s="74">
        <v>4.19</v>
      </c>
      <c r="F174" s="7">
        <v>0.012</v>
      </c>
      <c r="G174" s="23">
        <v>404.113135844</v>
      </c>
      <c r="H174" s="24">
        <f t="shared" si="31"/>
        <v>1.1328</v>
      </c>
      <c r="I174" s="25">
        <f t="shared" si="32"/>
        <v>0.1052631579</v>
      </c>
      <c r="J174" s="24">
        <f t="shared" si="33"/>
        <v>0.116487239</v>
      </c>
      <c r="K174" s="24">
        <f t="shared" si="34"/>
        <v>0.4438464991</v>
      </c>
      <c r="L174" s="24">
        <f t="shared" si="5"/>
        <v>1.010155121</v>
      </c>
      <c r="AD174" s="26"/>
      <c r="AE174" s="26"/>
      <c r="AF174" s="26"/>
      <c r="AG174" s="26"/>
      <c r="AH174" s="26"/>
      <c r="AI174" s="26"/>
      <c r="AJ174" s="26"/>
    </row>
    <row r="175">
      <c r="A175" s="20" t="s">
        <v>16</v>
      </c>
      <c r="B175" s="7" t="s">
        <v>39</v>
      </c>
      <c r="C175" s="7">
        <v>9.0</v>
      </c>
      <c r="D175" s="21">
        <v>0.88</v>
      </c>
      <c r="E175" s="74">
        <v>4.76</v>
      </c>
      <c r="F175" s="7">
        <v>0.014</v>
      </c>
      <c r="G175" s="23">
        <v>456.13729813</v>
      </c>
      <c r="H175" s="24">
        <f t="shared" si="31"/>
        <v>1.3216</v>
      </c>
      <c r="I175" s="25">
        <f t="shared" si="32"/>
        <v>0.2105263158</v>
      </c>
      <c r="J175" s="24">
        <f t="shared" si="33"/>
        <v>0.1983068232</v>
      </c>
      <c r="K175" s="24">
        <f t="shared" si="34"/>
        <v>0.3775808753</v>
      </c>
      <c r="L175" s="24">
        <f t="shared" si="5"/>
        <v>0.9899056366</v>
      </c>
      <c r="AD175" s="26"/>
      <c r="AE175" s="26"/>
      <c r="AF175" s="26"/>
      <c r="AG175" s="26"/>
      <c r="AH175" s="26"/>
      <c r="AI175" s="26"/>
      <c r="AJ175" s="26"/>
    </row>
    <row r="176">
      <c r="A176" s="20" t="s">
        <v>16</v>
      </c>
      <c r="B176" s="7" t="s">
        <v>39</v>
      </c>
      <c r="C176" s="7">
        <v>10.0</v>
      </c>
      <c r="D176" s="21">
        <v>0.88</v>
      </c>
      <c r="E176" s="74">
        <v>3.58</v>
      </c>
      <c r="F176" s="7">
        <v>0.01</v>
      </c>
      <c r="G176" s="23">
        <v>349.382513308999</v>
      </c>
      <c r="H176" s="24">
        <f t="shared" si="31"/>
        <v>0.944</v>
      </c>
      <c r="I176" s="25">
        <f t="shared" si="32"/>
        <v>0</v>
      </c>
      <c r="J176" s="24">
        <f t="shared" si="33"/>
        <v>0.03041114325</v>
      </c>
      <c r="K176" s="24">
        <f t="shared" si="34"/>
        <v>0.5315470466</v>
      </c>
      <c r="L176" s="24">
        <f t="shared" si="5"/>
        <v>1.030411143</v>
      </c>
      <c r="AD176" s="26"/>
      <c r="AE176" s="26"/>
      <c r="AF176" s="26"/>
      <c r="AG176" s="26"/>
      <c r="AH176" s="26"/>
      <c r="AI176" s="26"/>
      <c r="AJ176" s="26"/>
    </row>
    <row r="177">
      <c r="A177" s="20" t="s">
        <v>16</v>
      </c>
      <c r="B177" s="7" t="s">
        <v>39</v>
      </c>
      <c r="C177" s="7">
        <v>11.0</v>
      </c>
      <c r="D177" s="21">
        <v>0.88</v>
      </c>
      <c r="E177" s="74">
        <v>4.94</v>
      </c>
      <c r="F177" s="7">
        <v>0.014</v>
      </c>
      <c r="G177" s="23">
        <v>475.862189093999</v>
      </c>
      <c r="H177" s="24">
        <f t="shared" si="31"/>
        <v>1.3216</v>
      </c>
      <c r="I177" s="25">
        <f t="shared" si="32"/>
        <v>0.2105263158</v>
      </c>
      <c r="J177" s="24">
        <f t="shared" si="33"/>
        <v>0.2293286082</v>
      </c>
      <c r="K177" s="24">
        <f t="shared" si="34"/>
        <v>0.3680527209</v>
      </c>
      <c r="L177" s="24">
        <f t="shared" si="5"/>
        <v>1.015532328</v>
      </c>
      <c r="AD177" s="26"/>
      <c r="AE177" s="26"/>
      <c r="AF177" s="26"/>
      <c r="AG177" s="26"/>
      <c r="AH177" s="26"/>
      <c r="AI177" s="26"/>
      <c r="AJ177" s="26"/>
    </row>
    <row r="178">
      <c r="A178" s="20" t="s">
        <v>16</v>
      </c>
      <c r="B178" s="7" t="s">
        <v>39</v>
      </c>
      <c r="C178" s="7">
        <v>12.0</v>
      </c>
      <c r="D178" s="21">
        <v>0.88</v>
      </c>
      <c r="E178" s="74">
        <v>5.22</v>
      </c>
      <c r="F178" s="7">
        <v>0.015</v>
      </c>
      <c r="G178" s="23">
        <v>507.411187792</v>
      </c>
      <c r="H178" s="24">
        <f t="shared" si="31"/>
        <v>1.416</v>
      </c>
      <c r="I178" s="25">
        <f t="shared" si="32"/>
        <v>0.2631578947</v>
      </c>
      <c r="J178" s="24">
        <f t="shared" si="33"/>
        <v>0.2789464365</v>
      </c>
      <c r="K178" s="24">
        <f t="shared" si="34"/>
        <v>0.3390332237</v>
      </c>
      <c r="L178" s="24">
        <f t="shared" si="5"/>
        <v>1.012499262</v>
      </c>
      <c r="AD178" s="26"/>
      <c r="AE178" s="26"/>
      <c r="AF178" s="26"/>
      <c r="AG178" s="26"/>
      <c r="AH178" s="26"/>
      <c r="AI178" s="26"/>
      <c r="AJ178" s="26"/>
    </row>
    <row r="179">
      <c r="A179" s="20" t="s">
        <v>16</v>
      </c>
      <c r="B179" s="7" t="s">
        <v>39</v>
      </c>
      <c r="C179" s="7">
        <v>13.0</v>
      </c>
      <c r="D179" s="21">
        <v>0.88</v>
      </c>
      <c r="E179" s="74">
        <v>4.02</v>
      </c>
      <c r="F179" s="7">
        <v>0.012</v>
      </c>
      <c r="G179" s="23">
        <v>404.007996305999</v>
      </c>
      <c r="H179" s="24">
        <f t="shared" si="31"/>
        <v>1.1328</v>
      </c>
      <c r="I179" s="25">
        <f t="shared" si="32"/>
        <v>0.1052631579</v>
      </c>
      <c r="J179" s="24">
        <f t="shared" si="33"/>
        <v>0.1163218837</v>
      </c>
      <c r="K179" s="24">
        <f t="shared" si="34"/>
        <v>0.443912244</v>
      </c>
      <c r="L179" s="24">
        <f t="shared" si="5"/>
        <v>1.010005514</v>
      </c>
      <c r="AD179" s="26"/>
      <c r="AE179" s="26"/>
      <c r="AF179" s="26"/>
      <c r="AG179" s="26"/>
      <c r="AH179" s="26"/>
      <c r="AI179" s="26"/>
      <c r="AJ179" s="26"/>
    </row>
    <row r="180">
      <c r="A180" s="20" t="s">
        <v>16</v>
      </c>
      <c r="B180" s="7" t="s">
        <v>39</v>
      </c>
      <c r="C180" s="7">
        <v>14.0</v>
      </c>
      <c r="D180" s="21">
        <v>0.88</v>
      </c>
      <c r="E180" s="74">
        <v>5.01</v>
      </c>
      <c r="F180" s="7">
        <v>0.014</v>
      </c>
      <c r="G180" s="23">
        <v>496.070620384</v>
      </c>
      <c r="H180" s="24">
        <f t="shared" si="31"/>
        <v>1.3216</v>
      </c>
      <c r="I180" s="25">
        <f t="shared" si="32"/>
        <v>0.2105263158</v>
      </c>
      <c r="J180" s="24">
        <f t="shared" si="33"/>
        <v>0.261110868</v>
      </c>
      <c r="K180" s="24">
        <f t="shared" si="34"/>
        <v>0.358777131</v>
      </c>
      <c r="L180" s="24">
        <f t="shared" si="5"/>
        <v>1.041787239</v>
      </c>
      <c r="AD180" s="26"/>
      <c r="AE180" s="26"/>
      <c r="AF180" s="26"/>
      <c r="AG180" s="26"/>
      <c r="AH180" s="26"/>
      <c r="AI180" s="26"/>
      <c r="AJ180" s="26"/>
    </row>
    <row r="181">
      <c r="A181" s="20" t="s">
        <v>16</v>
      </c>
      <c r="B181" s="7" t="s">
        <v>39</v>
      </c>
      <c r="C181" s="7">
        <v>15.0</v>
      </c>
      <c r="D181" s="21">
        <v>0.88</v>
      </c>
      <c r="E181" s="74">
        <v>5.52</v>
      </c>
      <c r="F181" s="7">
        <v>0.016</v>
      </c>
      <c r="G181" s="23">
        <v>539.520246030999</v>
      </c>
      <c r="H181" s="24">
        <f t="shared" si="31"/>
        <v>1.5104</v>
      </c>
      <c r="I181" s="25">
        <f t="shared" si="32"/>
        <v>0.3157894737</v>
      </c>
      <c r="J181" s="24">
        <f t="shared" si="33"/>
        <v>0.3294450833</v>
      </c>
      <c r="K181" s="24">
        <f t="shared" si="34"/>
        <v>0.3131089243</v>
      </c>
      <c r="L181" s="24">
        <f t="shared" si="5"/>
        <v>1.010378263</v>
      </c>
      <c r="AD181" s="26"/>
      <c r="AE181" s="26"/>
      <c r="AF181" s="26"/>
      <c r="AG181" s="26"/>
      <c r="AH181" s="26"/>
      <c r="AI181" s="26"/>
      <c r="AJ181" s="26"/>
    </row>
    <row r="182">
      <c r="A182" s="20" t="s">
        <v>16</v>
      </c>
      <c r="B182" s="7" t="s">
        <v>39</v>
      </c>
      <c r="C182" s="7">
        <v>16.0</v>
      </c>
      <c r="D182" s="21">
        <v>0.88</v>
      </c>
      <c r="E182" s="74">
        <v>10.06</v>
      </c>
      <c r="F182" s="7">
        <v>0.029</v>
      </c>
      <c r="G182" s="23">
        <v>965.885867047998</v>
      </c>
      <c r="H182" s="24">
        <f t="shared" si="31"/>
        <v>2.7376</v>
      </c>
      <c r="I182" s="25">
        <f t="shared" si="32"/>
        <v>1</v>
      </c>
      <c r="J182" s="24">
        <f t="shared" si="33"/>
        <v>1</v>
      </c>
      <c r="K182" s="24">
        <f t="shared" si="34"/>
        <v>0.136928</v>
      </c>
      <c r="L182" s="24">
        <f t="shared" si="5"/>
        <v>1</v>
      </c>
      <c r="AD182" s="26"/>
      <c r="AE182" s="26"/>
      <c r="AF182" s="26"/>
      <c r="AG182" s="26"/>
      <c r="AH182" s="26"/>
      <c r="AI182" s="26"/>
      <c r="AJ182" s="26"/>
    </row>
    <row r="183">
      <c r="A183" s="20" t="s">
        <v>16</v>
      </c>
      <c r="B183" s="7" t="s">
        <v>39</v>
      </c>
      <c r="C183" s="7">
        <v>17.0</v>
      </c>
      <c r="D183" s="21">
        <v>0.88</v>
      </c>
      <c r="E183" s="74">
        <v>6.27</v>
      </c>
      <c r="F183" s="7">
        <v>0.018</v>
      </c>
      <c r="G183" s="23">
        <v>612.550440488999</v>
      </c>
      <c r="H183" s="24">
        <f t="shared" si="31"/>
        <v>1.6992</v>
      </c>
      <c r="I183" s="25">
        <f t="shared" si="32"/>
        <v>0.4210526316</v>
      </c>
      <c r="J183" s="24">
        <f t="shared" si="33"/>
        <v>0.4443013323</v>
      </c>
      <c r="K183" s="24">
        <f t="shared" si="34"/>
        <v>0.2668604912</v>
      </c>
      <c r="L183" s="24">
        <f t="shared" si="5"/>
        <v>1.016360197</v>
      </c>
      <c r="AD183" s="26"/>
      <c r="AE183" s="26"/>
      <c r="AF183" s="26"/>
      <c r="AG183" s="26"/>
      <c r="AH183" s="26"/>
      <c r="AI183" s="26"/>
      <c r="AJ183" s="26"/>
    </row>
    <row r="184">
      <c r="A184" s="20" t="s">
        <v>16</v>
      </c>
      <c r="B184" s="7" t="s">
        <v>39</v>
      </c>
      <c r="C184" s="7">
        <v>18.0</v>
      </c>
      <c r="D184" s="21">
        <v>0.88</v>
      </c>
      <c r="E184" s="74">
        <v>4.09</v>
      </c>
      <c r="F184" s="7">
        <v>0.012</v>
      </c>
      <c r="G184" s="23">
        <v>401.915983938</v>
      </c>
      <c r="H184" s="24">
        <f t="shared" si="31"/>
        <v>1.1328</v>
      </c>
      <c r="I184" s="25">
        <f t="shared" si="32"/>
        <v>0.1052631579</v>
      </c>
      <c r="J184" s="24">
        <f t="shared" si="33"/>
        <v>0.1130317282</v>
      </c>
      <c r="K184" s="24">
        <f t="shared" si="34"/>
        <v>0.445224462</v>
      </c>
      <c r="L184" s="24">
        <f t="shared" si="5"/>
        <v>1.007028706</v>
      </c>
      <c r="AD184" s="26"/>
      <c r="AE184" s="26"/>
      <c r="AF184" s="26"/>
      <c r="AG184" s="26"/>
      <c r="AH184" s="26"/>
      <c r="AI184" s="26"/>
      <c r="AJ184" s="26"/>
    </row>
    <row r="185">
      <c r="A185" s="20" t="s">
        <v>16</v>
      </c>
      <c r="B185" s="7" t="s">
        <v>39</v>
      </c>
      <c r="C185" s="7">
        <v>19.0</v>
      </c>
      <c r="D185" s="21">
        <v>0.88</v>
      </c>
      <c r="E185" s="74">
        <v>4.22</v>
      </c>
      <c r="F185" s="7">
        <v>0.012</v>
      </c>
      <c r="G185" s="23">
        <v>410.910857552999</v>
      </c>
      <c r="H185" s="24">
        <f t="shared" si="31"/>
        <v>1.1328</v>
      </c>
      <c r="I185" s="25">
        <f t="shared" si="32"/>
        <v>0.1052631579</v>
      </c>
      <c r="J185" s="24">
        <f t="shared" si="33"/>
        <v>0.1271781707</v>
      </c>
      <c r="K185" s="24">
        <f t="shared" si="34"/>
        <v>0.4396367542</v>
      </c>
      <c r="L185" s="24">
        <f t="shared" si="5"/>
        <v>1.019827869</v>
      </c>
      <c r="AD185" s="26"/>
      <c r="AE185" s="26"/>
      <c r="AF185" s="26"/>
      <c r="AG185" s="26"/>
      <c r="AH185" s="26"/>
      <c r="AI185" s="26"/>
      <c r="AJ185" s="26"/>
    </row>
    <row r="186">
      <c r="A186" s="20" t="s">
        <v>16</v>
      </c>
      <c r="B186" s="7" t="s">
        <v>39</v>
      </c>
      <c r="C186" s="7">
        <v>20.0</v>
      </c>
      <c r="D186" s="21">
        <v>0.88</v>
      </c>
      <c r="E186" s="74">
        <v>4.25</v>
      </c>
      <c r="F186" s="7">
        <v>0.012</v>
      </c>
      <c r="G186" s="23">
        <v>408.971689819</v>
      </c>
      <c r="H186" s="24">
        <f t="shared" si="31"/>
        <v>1.1328</v>
      </c>
      <c r="I186" s="25">
        <f t="shared" si="32"/>
        <v>0.1052631579</v>
      </c>
      <c r="J186" s="24">
        <f t="shared" si="33"/>
        <v>0.1241283975</v>
      </c>
      <c r="K186" s="24">
        <f t="shared" si="34"/>
        <v>0.4408294938</v>
      </c>
      <c r="L186" s="24">
        <f t="shared" si="5"/>
        <v>1.01706855</v>
      </c>
      <c r="AD186" s="26"/>
      <c r="AE186" s="26"/>
      <c r="AF186" s="26"/>
      <c r="AG186" s="26"/>
      <c r="AH186" s="26"/>
      <c r="AI186" s="26"/>
      <c r="AJ186" s="26"/>
    </row>
    <row r="187">
      <c r="A187" s="20" t="s">
        <v>16</v>
      </c>
      <c r="B187" s="7" t="s">
        <v>39</v>
      </c>
      <c r="C187" s="7">
        <v>21.0</v>
      </c>
      <c r="D187" s="21">
        <v>0.88</v>
      </c>
      <c r="E187" s="74">
        <v>5.22</v>
      </c>
      <c r="F187" s="7">
        <v>0.015</v>
      </c>
      <c r="G187" s="23">
        <v>501.856855394</v>
      </c>
      <c r="H187" s="24">
        <f t="shared" si="31"/>
        <v>1.416</v>
      </c>
      <c r="I187" s="25">
        <f t="shared" si="32"/>
        <v>0.2631578947</v>
      </c>
      <c r="J187" s="24">
        <f t="shared" si="33"/>
        <v>0.2702110115</v>
      </c>
      <c r="K187" s="24">
        <f t="shared" si="34"/>
        <v>0.3413648043</v>
      </c>
      <c r="L187" s="24">
        <f t="shared" si="5"/>
        <v>1.005583717</v>
      </c>
      <c r="AD187" s="26"/>
      <c r="AE187" s="26"/>
      <c r="AF187" s="26"/>
      <c r="AG187" s="26"/>
      <c r="AH187" s="26"/>
      <c r="AI187" s="26"/>
      <c r="AJ187" s="26"/>
    </row>
    <row r="188">
      <c r="A188" s="20" t="s">
        <v>16</v>
      </c>
      <c r="B188" s="7" t="s">
        <v>39</v>
      </c>
      <c r="C188" s="7">
        <v>22.0</v>
      </c>
      <c r="D188" s="21">
        <v>0.88</v>
      </c>
      <c r="E188" s="74">
        <v>5.04</v>
      </c>
      <c r="F188" s="7">
        <v>0.014</v>
      </c>
      <c r="G188" s="23">
        <v>473.182626367</v>
      </c>
      <c r="H188" s="24">
        <f t="shared" si="31"/>
        <v>1.3216</v>
      </c>
      <c r="I188" s="25">
        <f t="shared" si="32"/>
        <v>0.2105263158</v>
      </c>
      <c r="J188" s="24">
        <f t="shared" si="33"/>
        <v>0.2251143989</v>
      </c>
      <c r="K188" s="24">
        <f t="shared" si="34"/>
        <v>0.3693187669</v>
      </c>
      <c r="L188" s="24">
        <f t="shared" si="5"/>
        <v>1.012051025</v>
      </c>
      <c r="AD188" s="26"/>
      <c r="AE188" s="26"/>
      <c r="AF188" s="26"/>
      <c r="AG188" s="26"/>
      <c r="AH188" s="26"/>
      <c r="AI188" s="26"/>
      <c r="AJ188" s="26"/>
    </row>
    <row r="189">
      <c r="A189" s="20" t="s">
        <v>16</v>
      </c>
      <c r="B189" s="7" t="s">
        <v>39</v>
      </c>
      <c r="C189" s="7">
        <v>23.0</v>
      </c>
      <c r="D189" s="21">
        <v>0.88</v>
      </c>
      <c r="E189" s="74">
        <v>5.69</v>
      </c>
      <c r="F189" s="7">
        <v>0.016</v>
      </c>
      <c r="G189" s="23">
        <v>538.680972842999</v>
      </c>
      <c r="H189" s="24">
        <f t="shared" si="31"/>
        <v>1.5104</v>
      </c>
      <c r="I189" s="25">
        <f t="shared" si="32"/>
        <v>0.3157894737</v>
      </c>
      <c r="J189" s="24">
        <f t="shared" si="33"/>
        <v>0.3281251392</v>
      </c>
      <c r="K189" s="24">
        <f t="shared" si="34"/>
        <v>0.3134201046</v>
      </c>
      <c r="L189" s="24">
        <f t="shared" si="5"/>
        <v>1.009375106</v>
      </c>
      <c r="AD189" s="26"/>
      <c r="AE189" s="26"/>
      <c r="AF189" s="26"/>
      <c r="AG189" s="26"/>
      <c r="AH189" s="26"/>
      <c r="AI189" s="26"/>
      <c r="AJ189" s="26"/>
    </row>
    <row r="190">
      <c r="A190" s="20" t="s">
        <v>16</v>
      </c>
      <c r="B190" s="7" t="s">
        <v>39</v>
      </c>
      <c r="C190" s="7">
        <v>24.0</v>
      </c>
      <c r="D190" s="21">
        <v>0.88</v>
      </c>
      <c r="E190" s="74">
        <v>5.32</v>
      </c>
      <c r="F190" s="7">
        <v>0.015</v>
      </c>
      <c r="G190" s="23">
        <v>503.511643747</v>
      </c>
      <c r="H190" s="24">
        <f t="shared" si="31"/>
        <v>1.416</v>
      </c>
      <c r="I190" s="25">
        <f t="shared" si="32"/>
        <v>0.2631578947</v>
      </c>
      <c r="J190" s="24">
        <f t="shared" si="33"/>
        <v>0.2728135348</v>
      </c>
      <c r="K190" s="24">
        <f t="shared" si="34"/>
        <v>0.3406668153</v>
      </c>
      <c r="L190" s="24">
        <f t="shared" si="5"/>
        <v>1.007644048</v>
      </c>
      <c r="AD190" s="26"/>
      <c r="AE190" s="26"/>
      <c r="AF190" s="26"/>
      <c r="AG190" s="26"/>
      <c r="AH190" s="26"/>
      <c r="AI190" s="26"/>
      <c r="AJ190" s="26"/>
    </row>
    <row r="191">
      <c r="A191" s="20" t="s">
        <v>16</v>
      </c>
      <c r="B191" s="7" t="s">
        <v>39</v>
      </c>
      <c r="C191" s="7">
        <v>25.0</v>
      </c>
      <c r="D191" s="21">
        <v>0.88</v>
      </c>
      <c r="E191" s="74">
        <v>6.47</v>
      </c>
      <c r="F191" s="7">
        <v>0.019</v>
      </c>
      <c r="G191" s="23">
        <v>607.353485369998</v>
      </c>
      <c r="H191" s="24">
        <f t="shared" si="31"/>
        <v>1.7936</v>
      </c>
      <c r="I191" s="25">
        <f t="shared" si="32"/>
        <v>0.4736842105</v>
      </c>
      <c r="J191" s="24">
        <f t="shared" si="33"/>
        <v>0.4361279627</v>
      </c>
      <c r="K191" s="24">
        <f t="shared" si="34"/>
        <v>0.2587942885</v>
      </c>
      <c r="L191" s="24">
        <f t="shared" si="5"/>
        <v>0.9745154033</v>
      </c>
      <c r="AD191" s="26"/>
      <c r="AE191" s="26"/>
      <c r="AF191" s="26"/>
      <c r="AG191" s="26"/>
      <c r="AH191" s="26"/>
      <c r="AI191" s="26"/>
      <c r="AJ191" s="26"/>
    </row>
    <row r="192">
      <c r="A192" s="20" t="s">
        <v>16</v>
      </c>
      <c r="B192" s="7" t="s">
        <v>39</v>
      </c>
      <c r="C192" s="7">
        <v>26.0</v>
      </c>
      <c r="D192" s="21">
        <v>0.88</v>
      </c>
      <c r="E192" s="74">
        <v>5.7</v>
      </c>
      <c r="F192" s="7">
        <v>0.016</v>
      </c>
      <c r="G192" s="23">
        <v>531.053703128</v>
      </c>
      <c r="H192" s="24">
        <f t="shared" si="31"/>
        <v>1.5104</v>
      </c>
      <c r="I192" s="25">
        <f t="shared" si="32"/>
        <v>0.3157894737</v>
      </c>
      <c r="J192" s="24">
        <f t="shared" si="33"/>
        <v>0.3161295585</v>
      </c>
      <c r="K192" s="24">
        <f t="shared" si="34"/>
        <v>0.3162767049</v>
      </c>
      <c r="L192" s="24">
        <f t="shared" si="5"/>
        <v>1.000258464</v>
      </c>
      <c r="AD192" s="26"/>
      <c r="AE192" s="26"/>
      <c r="AF192" s="26"/>
      <c r="AG192" s="26"/>
      <c r="AH192" s="26"/>
      <c r="AI192" s="26"/>
      <c r="AJ192" s="26"/>
    </row>
    <row r="193">
      <c r="A193" s="20" t="s">
        <v>16</v>
      </c>
      <c r="B193" s="7" t="s">
        <v>39</v>
      </c>
      <c r="C193" s="7">
        <v>27.0</v>
      </c>
      <c r="D193" s="21">
        <v>0.88</v>
      </c>
      <c r="E193" s="74">
        <v>4.22</v>
      </c>
      <c r="F193" s="7">
        <v>0.012</v>
      </c>
      <c r="G193" s="23">
        <v>402.289242253</v>
      </c>
      <c r="H193" s="24">
        <f t="shared" si="31"/>
        <v>1.1328</v>
      </c>
      <c r="I193" s="25">
        <f t="shared" si="32"/>
        <v>0.1052631579</v>
      </c>
      <c r="J193" s="24">
        <f t="shared" si="33"/>
        <v>0.1136187601</v>
      </c>
      <c r="K193" s="24">
        <f t="shared" si="34"/>
        <v>0.4449897668</v>
      </c>
      <c r="L193" s="24">
        <f t="shared" si="5"/>
        <v>1.007559831</v>
      </c>
      <c r="AD193" s="26"/>
      <c r="AE193" s="26"/>
      <c r="AF193" s="26"/>
      <c r="AG193" s="26"/>
      <c r="AH193" s="26"/>
      <c r="AI193" s="26"/>
      <c r="AJ193" s="26"/>
    </row>
    <row r="194">
      <c r="A194" s="20" t="s">
        <v>16</v>
      </c>
      <c r="B194" s="7" t="s">
        <v>39</v>
      </c>
      <c r="C194" s="7">
        <v>28.0</v>
      </c>
      <c r="D194" s="21">
        <v>0.88</v>
      </c>
      <c r="E194" s="74">
        <v>4.87</v>
      </c>
      <c r="F194" s="7">
        <v>0.014</v>
      </c>
      <c r="G194" s="23">
        <v>466.485149415</v>
      </c>
      <c r="H194" s="24">
        <f t="shared" si="31"/>
        <v>1.3216</v>
      </c>
      <c r="I194" s="25">
        <f t="shared" si="32"/>
        <v>0.2105263158</v>
      </c>
      <c r="J194" s="24">
        <f t="shared" si="33"/>
        <v>0.2145811244</v>
      </c>
      <c r="K194" s="24">
        <f t="shared" si="34"/>
        <v>0.3725216291</v>
      </c>
      <c r="L194" s="24">
        <f t="shared" si="5"/>
        <v>1.003349625</v>
      </c>
      <c r="AD194" s="26"/>
      <c r="AE194" s="26"/>
      <c r="AF194" s="26"/>
      <c r="AG194" s="26"/>
      <c r="AH194" s="26"/>
      <c r="AI194" s="26"/>
      <c r="AJ194" s="26"/>
    </row>
    <row r="195">
      <c r="A195" s="20" t="s">
        <v>16</v>
      </c>
      <c r="B195" s="7" t="s">
        <v>39</v>
      </c>
      <c r="C195" s="7">
        <v>29.0</v>
      </c>
      <c r="D195" s="21">
        <v>0.88</v>
      </c>
      <c r="E195" s="74">
        <v>5.21</v>
      </c>
      <c r="F195" s="7">
        <v>0.015</v>
      </c>
      <c r="G195" s="23">
        <v>488.02388267</v>
      </c>
      <c r="H195" s="24">
        <f t="shared" si="31"/>
        <v>1.416</v>
      </c>
      <c r="I195" s="25">
        <f t="shared" si="32"/>
        <v>0.2631578947</v>
      </c>
      <c r="J195" s="24">
        <f t="shared" si="33"/>
        <v>0.2484555805</v>
      </c>
      <c r="K195" s="24">
        <f t="shared" si="34"/>
        <v>0.3473133847</v>
      </c>
      <c r="L195" s="24">
        <f t="shared" si="5"/>
        <v>0.9883606679</v>
      </c>
      <c r="AD195" s="26"/>
      <c r="AE195" s="26"/>
      <c r="AF195" s="26"/>
      <c r="AG195" s="26"/>
      <c r="AH195" s="26"/>
      <c r="AI195" s="26"/>
      <c r="AJ195" s="26"/>
    </row>
    <row r="196">
      <c r="A196" s="20" t="s">
        <v>16</v>
      </c>
      <c r="B196" s="7" t="s">
        <v>39</v>
      </c>
      <c r="C196" s="7">
        <v>30.0</v>
      </c>
      <c r="D196" s="21">
        <v>0.88</v>
      </c>
      <c r="E196" s="74">
        <v>5.89</v>
      </c>
      <c r="F196" s="7">
        <v>0.017</v>
      </c>
      <c r="G196" s="23">
        <v>552.559118482</v>
      </c>
      <c r="H196" s="24">
        <f t="shared" si="31"/>
        <v>1.6048</v>
      </c>
      <c r="I196" s="25">
        <f t="shared" si="32"/>
        <v>0.3684210526</v>
      </c>
      <c r="J196" s="24">
        <f t="shared" si="33"/>
        <v>0.3499516147</v>
      </c>
      <c r="K196" s="24">
        <f t="shared" si="34"/>
        <v>0.2964929058</v>
      </c>
      <c r="L196" s="24">
        <f t="shared" si="5"/>
        <v>0.9865031031</v>
      </c>
      <c r="AD196" s="26"/>
      <c r="AE196" s="26"/>
      <c r="AF196" s="26"/>
      <c r="AG196" s="26"/>
      <c r="AH196" s="26"/>
      <c r="AI196" s="26"/>
      <c r="AJ196" s="26"/>
    </row>
    <row r="197">
      <c r="A197" s="20" t="s">
        <v>16</v>
      </c>
      <c r="B197" s="7" t="s">
        <v>39</v>
      </c>
      <c r="C197" s="7">
        <v>31.0</v>
      </c>
      <c r="D197" s="21">
        <v>0.88</v>
      </c>
      <c r="E197" s="74">
        <v>3.92</v>
      </c>
      <c r="F197" s="7">
        <v>0.011</v>
      </c>
      <c r="G197" s="23">
        <v>374.634509988998</v>
      </c>
      <c r="H197" s="24">
        <f t="shared" si="31"/>
        <v>1.0384</v>
      </c>
      <c r="I197" s="25">
        <f t="shared" si="32"/>
        <v>0.05263157895</v>
      </c>
      <c r="J197" s="24">
        <f t="shared" si="33"/>
        <v>0.07012553319</v>
      </c>
      <c r="K197" s="24">
        <f t="shared" si="34"/>
        <v>0.4862293104</v>
      </c>
      <c r="L197" s="24">
        <f t="shared" si="5"/>
        <v>1.016619257</v>
      </c>
      <c r="AD197" s="26"/>
      <c r="AE197" s="26"/>
      <c r="AF197" s="26"/>
      <c r="AG197" s="26"/>
      <c r="AH197" s="26"/>
      <c r="AI197" s="26"/>
      <c r="AJ197" s="26"/>
    </row>
    <row r="198">
      <c r="A198" s="20" t="s">
        <v>16</v>
      </c>
      <c r="B198" s="7" t="s">
        <v>39</v>
      </c>
      <c r="C198" s="7">
        <v>32.0</v>
      </c>
      <c r="D198" s="21">
        <v>0.88</v>
      </c>
      <c r="E198" s="74">
        <v>5.19</v>
      </c>
      <c r="F198" s="7">
        <v>0.015</v>
      </c>
      <c r="G198" s="23">
        <v>496.133888350999</v>
      </c>
      <c r="H198" s="24">
        <f t="shared" si="31"/>
        <v>1.416</v>
      </c>
      <c r="I198" s="25">
        <f t="shared" si="32"/>
        <v>0.2631578947</v>
      </c>
      <c r="J198" s="24">
        <f t="shared" si="33"/>
        <v>0.261210371</v>
      </c>
      <c r="K198" s="24">
        <f t="shared" si="34"/>
        <v>0.3438009576</v>
      </c>
      <c r="L198" s="24">
        <f t="shared" si="5"/>
        <v>0.9984582104</v>
      </c>
      <c r="AD198" s="26"/>
      <c r="AE198" s="26"/>
      <c r="AF198" s="26"/>
      <c r="AG198" s="26"/>
      <c r="AH198" s="26"/>
      <c r="AI198" s="26"/>
      <c r="AJ198" s="26"/>
    </row>
    <row r="199">
      <c r="A199" s="20" t="s">
        <v>16</v>
      </c>
      <c r="B199" s="7" t="s">
        <v>39</v>
      </c>
      <c r="C199" s="7">
        <v>33.0</v>
      </c>
      <c r="D199" s="21">
        <v>0.88</v>
      </c>
      <c r="E199" s="74">
        <v>3.42</v>
      </c>
      <c r="F199" s="7">
        <v>0.01</v>
      </c>
      <c r="G199" s="23">
        <v>330.045892767</v>
      </c>
      <c r="H199" s="24">
        <f t="shared" si="31"/>
        <v>0.944</v>
      </c>
      <c r="I199" s="25">
        <f t="shared" si="32"/>
        <v>0</v>
      </c>
      <c r="J199" s="24">
        <f t="shared" si="33"/>
        <v>0</v>
      </c>
      <c r="K199" s="24">
        <f t="shared" si="34"/>
        <v>0.547712</v>
      </c>
      <c r="L199" s="24">
        <f t="shared" si="5"/>
        <v>1</v>
      </c>
    </row>
    <row r="200">
      <c r="A200" s="57" t="s">
        <v>16</v>
      </c>
      <c r="B200" s="58" t="s">
        <v>40</v>
      </c>
      <c r="C200" s="7">
        <v>1.0</v>
      </c>
      <c r="D200" s="21">
        <v>0.89</v>
      </c>
      <c r="E200" s="74">
        <v>2.33</v>
      </c>
      <c r="F200" s="7">
        <v>0.007</v>
      </c>
      <c r="G200" s="23">
        <v>234.793029671</v>
      </c>
      <c r="H200" s="24">
        <f t="shared" si="31"/>
        <v>0.6608</v>
      </c>
      <c r="I200" s="25">
        <f t="shared" ref="I200:I232" si="35">(H200-MIN($H$200:$H$232))/(MAX($H$200:$H$232)-MIN($H$200:$H$232))</f>
        <v>0.1333333333</v>
      </c>
      <c r="J200" s="24">
        <f t="shared" ref="J200:J232" si="36">(G200-MIN($G$200:$G$232))/(MAX($G$200:$G$232)-MIN($G$200:$G$232))</f>
        <v>0.1428803949</v>
      </c>
      <c r="K200" s="24">
        <f t="shared" ref="K200:K232" si="37">0.89*(1/(1+I200))*(1/(1+J200))*(1-0.3776)</f>
        <v>0.4276624755</v>
      </c>
      <c r="L200" s="24">
        <f t="shared" si="5"/>
        <v>1.008423878</v>
      </c>
      <c r="AC200" s="52"/>
      <c r="AD200" s="52"/>
      <c r="AE200" s="52"/>
      <c r="AF200" s="52"/>
      <c r="AG200" s="52"/>
      <c r="AH200" s="52"/>
      <c r="AI200" s="52"/>
      <c r="AJ200" s="52"/>
    </row>
    <row r="201">
      <c r="A201" s="20" t="s">
        <v>16</v>
      </c>
      <c r="B201" s="7" t="s">
        <v>40</v>
      </c>
      <c r="C201" s="7">
        <v>2.0</v>
      </c>
      <c r="D201" s="21">
        <v>0.89</v>
      </c>
      <c r="E201" s="74">
        <v>2.25</v>
      </c>
      <c r="F201" s="7">
        <v>0.006</v>
      </c>
      <c r="G201" s="23">
        <v>221.638127884999</v>
      </c>
      <c r="H201" s="24">
        <f t="shared" si="31"/>
        <v>0.5664</v>
      </c>
      <c r="I201" s="25">
        <f t="shared" si="35"/>
        <v>0.06666666667</v>
      </c>
      <c r="J201" s="24">
        <f t="shared" si="36"/>
        <v>0.1146183562</v>
      </c>
      <c r="K201" s="24">
        <f t="shared" si="37"/>
        <v>0.4659128365</v>
      </c>
      <c r="L201" s="24">
        <f t="shared" si="5"/>
        <v>1.044954709</v>
      </c>
      <c r="AC201" s="81"/>
      <c r="AD201" s="93"/>
      <c r="AE201" s="93"/>
      <c r="AF201" s="94"/>
      <c r="AG201" s="93"/>
      <c r="AH201" s="93"/>
      <c r="AI201" s="95"/>
      <c r="AJ201" s="95"/>
    </row>
    <row r="202">
      <c r="A202" s="20" t="s">
        <v>16</v>
      </c>
      <c r="B202" s="7" t="s">
        <v>40</v>
      </c>
      <c r="C202" s="7">
        <v>3.0</v>
      </c>
      <c r="D202" s="21">
        <v>0.89</v>
      </c>
      <c r="E202" s="74">
        <v>1.99</v>
      </c>
      <c r="F202" s="7">
        <v>0.006</v>
      </c>
      <c r="G202" s="23">
        <v>195.893973126</v>
      </c>
      <c r="H202" s="24">
        <f t="shared" si="31"/>
        <v>0.5664</v>
      </c>
      <c r="I202" s="25">
        <f t="shared" si="35"/>
        <v>0.06666666667</v>
      </c>
      <c r="J202" s="24">
        <f t="shared" si="36"/>
        <v>0.05930952081</v>
      </c>
      <c r="K202" s="24">
        <f t="shared" si="37"/>
        <v>0.4902391509</v>
      </c>
      <c r="L202" s="24">
        <f t="shared" si="5"/>
        <v>0.9931026758</v>
      </c>
      <c r="AC202" s="81"/>
      <c r="AD202" s="93"/>
      <c r="AE202" s="93"/>
      <c r="AF202" s="93"/>
      <c r="AG202" s="93"/>
      <c r="AH202" s="93"/>
      <c r="AI202" s="95"/>
      <c r="AJ202" s="95"/>
    </row>
    <row r="203">
      <c r="A203" s="20" t="s">
        <v>16</v>
      </c>
      <c r="B203" s="7" t="s">
        <v>40</v>
      </c>
      <c r="C203" s="7">
        <v>4.0</v>
      </c>
      <c r="D203" s="21">
        <v>0.89</v>
      </c>
      <c r="E203" s="74">
        <v>3.83</v>
      </c>
      <c r="F203" s="7">
        <v>0.011</v>
      </c>
      <c r="G203" s="23">
        <v>368.367268904</v>
      </c>
      <c r="H203" s="24">
        <f t="shared" si="31"/>
        <v>1.0384</v>
      </c>
      <c r="I203" s="25">
        <f t="shared" si="35"/>
        <v>0.4</v>
      </c>
      <c r="J203" s="24">
        <f t="shared" si="36"/>
        <v>0.4298517746</v>
      </c>
      <c r="K203" s="24">
        <f t="shared" si="37"/>
        <v>0.2767199919</v>
      </c>
      <c r="L203" s="24">
        <f t="shared" si="5"/>
        <v>1.021322696</v>
      </c>
      <c r="AC203" s="81"/>
      <c r="AD203" s="93"/>
      <c r="AE203" s="93"/>
      <c r="AF203" s="93"/>
      <c r="AG203" s="93"/>
      <c r="AH203" s="93"/>
      <c r="AI203" s="95"/>
      <c r="AJ203" s="95"/>
    </row>
    <row r="204">
      <c r="A204" s="20" t="s">
        <v>16</v>
      </c>
      <c r="B204" s="7" t="s">
        <v>40</v>
      </c>
      <c r="C204" s="7">
        <v>5.0</v>
      </c>
      <c r="D204" s="21">
        <v>0.89</v>
      </c>
      <c r="E204" s="74">
        <v>2.71</v>
      </c>
      <c r="F204" s="7">
        <v>0.008</v>
      </c>
      <c r="G204" s="23">
        <v>266.852529259</v>
      </c>
      <c r="H204" s="24">
        <f t="shared" si="31"/>
        <v>0.7552</v>
      </c>
      <c r="I204" s="25">
        <f t="shared" si="35"/>
        <v>0.2</v>
      </c>
      <c r="J204" s="24">
        <f t="shared" si="36"/>
        <v>0.21175714</v>
      </c>
      <c r="K204" s="24">
        <f t="shared" si="37"/>
        <v>0.3809454206</v>
      </c>
      <c r="L204" s="24">
        <f t="shared" si="5"/>
        <v>1.009797617</v>
      </c>
      <c r="AC204" s="81"/>
      <c r="AD204" s="93"/>
      <c r="AE204" s="93"/>
      <c r="AF204" s="93"/>
      <c r="AG204" s="93"/>
      <c r="AH204" s="93"/>
      <c r="AI204" s="95"/>
      <c r="AJ204" s="95"/>
    </row>
    <row r="205">
      <c r="A205" s="20" t="s">
        <v>16</v>
      </c>
      <c r="B205" s="7" t="s">
        <v>40</v>
      </c>
      <c r="C205" s="7">
        <v>6.0</v>
      </c>
      <c r="D205" s="21">
        <v>0.89</v>
      </c>
      <c r="E205" s="74">
        <v>2.12</v>
      </c>
      <c r="F205" s="7">
        <v>0.006</v>
      </c>
      <c r="G205" s="23">
        <v>210.942429477</v>
      </c>
      <c r="H205" s="24">
        <f t="shared" si="31"/>
        <v>0.5664</v>
      </c>
      <c r="I205" s="25">
        <f t="shared" si="35"/>
        <v>0.06666666667</v>
      </c>
      <c r="J205" s="24">
        <f t="shared" si="36"/>
        <v>0.09163967898</v>
      </c>
      <c r="K205" s="24">
        <f t="shared" si="37"/>
        <v>0.4757201575</v>
      </c>
      <c r="L205" s="24">
        <f t="shared" si="5"/>
        <v>1.023412199</v>
      </c>
      <c r="AC205" s="81"/>
      <c r="AD205" s="93"/>
      <c r="AE205" s="93"/>
      <c r="AF205" s="94"/>
      <c r="AG205" s="93"/>
      <c r="AH205" s="93"/>
      <c r="AI205" s="95"/>
      <c r="AJ205" s="95"/>
    </row>
    <row r="206">
      <c r="A206" s="20" t="s">
        <v>16</v>
      </c>
      <c r="B206" s="7" t="s">
        <v>40</v>
      </c>
      <c r="C206" s="7">
        <v>7.0</v>
      </c>
      <c r="D206" s="21">
        <v>0.89</v>
      </c>
      <c r="E206" s="74">
        <v>2.58</v>
      </c>
      <c r="F206" s="7">
        <v>0.007</v>
      </c>
      <c r="G206" s="23">
        <v>250.414278365</v>
      </c>
      <c r="H206" s="24">
        <f t="shared" si="31"/>
        <v>0.6608</v>
      </c>
      <c r="I206" s="25">
        <f t="shared" si="35"/>
        <v>0.1333333333</v>
      </c>
      <c r="J206" s="24">
        <f t="shared" si="36"/>
        <v>0.1764411422</v>
      </c>
      <c r="K206" s="24">
        <f t="shared" si="37"/>
        <v>0.4154623987</v>
      </c>
      <c r="L206" s="24">
        <f t="shared" si="5"/>
        <v>1.038036302</v>
      </c>
    </row>
    <row r="207">
      <c r="A207" s="20" t="s">
        <v>16</v>
      </c>
      <c r="B207" s="7" t="s">
        <v>40</v>
      </c>
      <c r="C207" s="7">
        <v>8.0</v>
      </c>
      <c r="D207" s="21">
        <v>0.89</v>
      </c>
      <c r="E207" s="74">
        <v>3.23</v>
      </c>
      <c r="F207" s="7">
        <v>0.009</v>
      </c>
      <c r="G207" s="23">
        <v>310.457292646</v>
      </c>
      <c r="H207" s="24">
        <f t="shared" si="31"/>
        <v>0.8496</v>
      </c>
      <c r="I207" s="25">
        <f t="shared" si="35"/>
        <v>0.2666666667</v>
      </c>
      <c r="J207" s="24">
        <f t="shared" si="36"/>
        <v>0.3054377717</v>
      </c>
      <c r="K207" s="24">
        <f t="shared" si="37"/>
        <v>0.3349971207</v>
      </c>
      <c r="L207" s="24">
        <f t="shared" si="5"/>
        <v>1.030608767</v>
      </c>
    </row>
    <row r="208">
      <c r="A208" s="20" t="s">
        <v>16</v>
      </c>
      <c r="B208" s="7" t="s">
        <v>40</v>
      </c>
      <c r="C208" s="7">
        <v>9.0</v>
      </c>
      <c r="D208" s="21">
        <v>0.89</v>
      </c>
      <c r="E208" s="74">
        <v>2.17</v>
      </c>
      <c r="F208" s="7">
        <v>0.006</v>
      </c>
      <c r="G208" s="23">
        <v>212.467120633999</v>
      </c>
      <c r="H208" s="24">
        <f t="shared" si="31"/>
        <v>0.5664</v>
      </c>
      <c r="I208" s="25">
        <f t="shared" si="35"/>
        <v>0.06666666667</v>
      </c>
      <c r="J208" s="24">
        <f t="shared" si="36"/>
        <v>0.09491533099</v>
      </c>
      <c r="K208" s="24">
        <f t="shared" si="37"/>
        <v>0.4742969482</v>
      </c>
      <c r="L208" s="24">
        <f t="shared" si="5"/>
        <v>1.026483123</v>
      </c>
    </row>
    <row r="209">
      <c r="A209" s="20" t="s">
        <v>16</v>
      </c>
      <c r="B209" s="7" t="s">
        <v>40</v>
      </c>
      <c r="C209" s="7">
        <v>10.0</v>
      </c>
      <c r="D209" s="21">
        <v>0.89</v>
      </c>
      <c r="E209" s="74">
        <v>1.72</v>
      </c>
      <c r="F209" s="7">
        <v>0.005</v>
      </c>
      <c r="G209" s="23">
        <v>168.287651797</v>
      </c>
      <c r="H209" s="24">
        <f t="shared" si="31"/>
        <v>0.472</v>
      </c>
      <c r="I209" s="25">
        <f t="shared" si="35"/>
        <v>0</v>
      </c>
      <c r="J209" s="24">
        <f t="shared" si="36"/>
        <v>0</v>
      </c>
      <c r="K209" s="24">
        <f t="shared" si="37"/>
        <v>0.553936</v>
      </c>
      <c r="L209" s="24">
        <f t="shared" si="5"/>
        <v>1</v>
      </c>
    </row>
    <row r="210">
      <c r="A210" s="20" t="s">
        <v>16</v>
      </c>
      <c r="B210" s="7" t="s">
        <v>40</v>
      </c>
      <c r="C210" s="7">
        <v>11.0</v>
      </c>
      <c r="D210" s="21">
        <v>0.89</v>
      </c>
      <c r="E210" s="74">
        <v>2.18</v>
      </c>
      <c r="F210" s="7">
        <v>0.006</v>
      </c>
      <c r="G210" s="23">
        <v>215.146330906</v>
      </c>
      <c r="H210" s="24">
        <f t="shared" si="31"/>
        <v>0.5664</v>
      </c>
      <c r="I210" s="25">
        <f t="shared" si="35"/>
        <v>0.06666666667</v>
      </c>
      <c r="J210" s="24">
        <f t="shared" si="36"/>
        <v>0.100671356</v>
      </c>
      <c r="K210" s="24">
        <f t="shared" si="37"/>
        <v>0.4718165846</v>
      </c>
      <c r="L210" s="24">
        <f t="shared" si="5"/>
        <v>1.031879396</v>
      </c>
    </row>
    <row r="211">
      <c r="A211" s="20" t="s">
        <v>16</v>
      </c>
      <c r="B211" s="7" t="s">
        <v>40</v>
      </c>
      <c r="C211" s="7">
        <v>12.0</v>
      </c>
      <c r="D211" s="21">
        <v>0.89</v>
      </c>
      <c r="E211" s="74">
        <v>3.97</v>
      </c>
      <c r="F211" s="7">
        <v>0.011</v>
      </c>
      <c r="G211" s="23">
        <v>377.991712461</v>
      </c>
      <c r="H211" s="24">
        <f t="shared" si="31"/>
        <v>1.0384</v>
      </c>
      <c r="I211" s="25">
        <f t="shared" si="35"/>
        <v>0.4</v>
      </c>
      <c r="J211" s="24">
        <f t="shared" si="36"/>
        <v>0.450528964</v>
      </c>
      <c r="K211" s="24">
        <f t="shared" si="37"/>
        <v>0.2727753676</v>
      </c>
      <c r="L211" s="24">
        <f t="shared" si="5"/>
        <v>1.036092117</v>
      </c>
    </row>
    <row r="212">
      <c r="A212" s="20" t="s">
        <v>16</v>
      </c>
      <c r="B212" s="7" t="s">
        <v>40</v>
      </c>
      <c r="C212" s="7">
        <v>13.0</v>
      </c>
      <c r="D212" s="21">
        <v>0.89</v>
      </c>
      <c r="E212" s="74">
        <v>3.52</v>
      </c>
      <c r="F212" s="7">
        <v>0.01</v>
      </c>
      <c r="G212" s="23">
        <v>331.227756033</v>
      </c>
      <c r="H212" s="24">
        <f t="shared" si="31"/>
        <v>0.944</v>
      </c>
      <c r="I212" s="25">
        <f t="shared" si="35"/>
        <v>0.3333333333</v>
      </c>
      <c r="J212" s="24">
        <f t="shared" si="36"/>
        <v>0.3500611106</v>
      </c>
      <c r="K212" s="24">
        <f t="shared" si="37"/>
        <v>0.3077282923</v>
      </c>
      <c r="L212" s="24">
        <f t="shared" si="5"/>
        <v>1.012545833</v>
      </c>
    </row>
    <row r="213">
      <c r="A213" s="20" t="s">
        <v>16</v>
      </c>
      <c r="B213" s="7" t="s">
        <v>40</v>
      </c>
      <c r="C213" s="7">
        <v>14.0</v>
      </c>
      <c r="D213" s="21">
        <v>0.89</v>
      </c>
      <c r="E213" s="74">
        <v>3.88</v>
      </c>
      <c r="F213" s="7">
        <v>0.011</v>
      </c>
      <c r="G213" s="23">
        <v>365.643361391999</v>
      </c>
      <c r="H213" s="24">
        <f t="shared" si="31"/>
        <v>1.0384</v>
      </c>
      <c r="I213" s="25">
        <f t="shared" si="35"/>
        <v>0.4</v>
      </c>
      <c r="J213" s="24">
        <f t="shared" si="36"/>
        <v>0.4239997219</v>
      </c>
      <c r="K213" s="24">
        <f t="shared" si="37"/>
        <v>0.2778571971</v>
      </c>
      <c r="L213" s="24">
        <f t="shared" si="5"/>
        <v>1.017142658</v>
      </c>
    </row>
    <row r="214">
      <c r="A214" s="20" t="s">
        <v>16</v>
      </c>
      <c r="B214" s="7" t="s">
        <v>40</v>
      </c>
      <c r="C214" s="7">
        <v>15.0</v>
      </c>
      <c r="D214" s="21">
        <v>0.89</v>
      </c>
      <c r="E214" s="74">
        <v>2.82</v>
      </c>
      <c r="F214" s="7">
        <v>0.008</v>
      </c>
      <c r="G214" s="23">
        <v>267.992912579</v>
      </c>
      <c r="H214" s="24">
        <f t="shared" si="31"/>
        <v>0.7552</v>
      </c>
      <c r="I214" s="25">
        <f t="shared" si="35"/>
        <v>0.2</v>
      </c>
      <c r="J214" s="24">
        <f t="shared" si="36"/>
        <v>0.2142071437</v>
      </c>
      <c r="K214" s="24">
        <f t="shared" si="37"/>
        <v>0.3801767563</v>
      </c>
      <c r="L214" s="24">
        <f t="shared" si="5"/>
        <v>1.011839286</v>
      </c>
    </row>
    <row r="215">
      <c r="A215" s="20" t="s">
        <v>16</v>
      </c>
      <c r="B215" s="7" t="s">
        <v>40</v>
      </c>
      <c r="C215" s="7">
        <v>16.0</v>
      </c>
      <c r="D215" s="21">
        <v>0.89</v>
      </c>
      <c r="E215" s="74">
        <v>6.81</v>
      </c>
      <c r="F215" s="7">
        <v>0.02</v>
      </c>
      <c r="G215" s="23">
        <v>633.749536379</v>
      </c>
      <c r="H215" s="24">
        <f t="shared" si="31"/>
        <v>1.888</v>
      </c>
      <c r="I215" s="25">
        <f t="shared" si="35"/>
        <v>1</v>
      </c>
      <c r="J215" s="24">
        <f t="shared" si="36"/>
        <v>1</v>
      </c>
      <c r="K215" s="24">
        <f t="shared" si="37"/>
        <v>0.138484</v>
      </c>
      <c r="L215" s="24">
        <f t="shared" si="5"/>
        <v>1</v>
      </c>
    </row>
    <row r="216">
      <c r="A216" s="20" t="s">
        <v>16</v>
      </c>
      <c r="B216" s="7" t="s">
        <v>40</v>
      </c>
      <c r="C216" s="7">
        <v>17.0</v>
      </c>
      <c r="D216" s="21">
        <v>0.89</v>
      </c>
      <c r="E216" s="74">
        <v>4.24</v>
      </c>
      <c r="F216" s="7">
        <v>0.012</v>
      </c>
      <c r="G216" s="23">
        <v>399.165283418999</v>
      </c>
      <c r="H216" s="24">
        <f t="shared" si="31"/>
        <v>1.1328</v>
      </c>
      <c r="I216" s="25">
        <f t="shared" si="35"/>
        <v>0.4666666667</v>
      </c>
      <c r="J216" s="24">
        <f t="shared" si="36"/>
        <v>0.4960183406</v>
      </c>
      <c r="K216" s="24">
        <f t="shared" si="37"/>
        <v>0.2524592287</v>
      </c>
      <c r="L216" s="24">
        <f t="shared" si="5"/>
        <v>1.020012505</v>
      </c>
    </row>
    <row r="217">
      <c r="A217" s="20" t="s">
        <v>16</v>
      </c>
      <c r="B217" s="7" t="s">
        <v>40</v>
      </c>
      <c r="C217" s="7">
        <v>18.0</v>
      </c>
      <c r="D217" s="21">
        <v>0.89</v>
      </c>
      <c r="E217" s="74">
        <v>2.58</v>
      </c>
      <c r="F217" s="7">
        <v>0.007</v>
      </c>
      <c r="G217" s="23">
        <v>248.729434591</v>
      </c>
      <c r="H217" s="24">
        <f t="shared" si="31"/>
        <v>0.6608</v>
      </c>
      <c r="I217" s="25">
        <f t="shared" si="35"/>
        <v>0.1333333333</v>
      </c>
      <c r="J217" s="24">
        <f t="shared" si="36"/>
        <v>0.1728214177</v>
      </c>
      <c r="K217" s="24">
        <f t="shared" si="37"/>
        <v>0.4167446565</v>
      </c>
      <c r="L217" s="24">
        <f t="shared" si="5"/>
        <v>1.034842427</v>
      </c>
    </row>
    <row r="218">
      <c r="A218" s="20" t="s">
        <v>16</v>
      </c>
      <c r="B218" s="7" t="s">
        <v>40</v>
      </c>
      <c r="C218" s="7">
        <v>19.0</v>
      </c>
      <c r="D218" s="21">
        <v>0.89</v>
      </c>
      <c r="E218" s="74">
        <v>3.89</v>
      </c>
      <c r="F218" s="7">
        <v>0.011</v>
      </c>
      <c r="G218" s="23">
        <v>367.634697396999</v>
      </c>
      <c r="H218" s="24">
        <f t="shared" si="31"/>
        <v>1.0384</v>
      </c>
      <c r="I218" s="25">
        <f t="shared" si="35"/>
        <v>0.4</v>
      </c>
      <c r="J218" s="24">
        <f t="shared" si="36"/>
        <v>0.4282779153</v>
      </c>
      <c r="K218" s="24">
        <f t="shared" si="37"/>
        <v>0.2770249173</v>
      </c>
      <c r="L218" s="24">
        <f t="shared" si="5"/>
        <v>1.020198511</v>
      </c>
    </row>
    <row r="219">
      <c r="A219" s="20" t="s">
        <v>16</v>
      </c>
      <c r="B219" s="7" t="s">
        <v>40</v>
      </c>
      <c r="C219" s="7">
        <v>20.0</v>
      </c>
      <c r="D219" s="21">
        <v>0.89</v>
      </c>
      <c r="E219" s="74">
        <v>1.96</v>
      </c>
      <c r="F219" s="7">
        <v>0.006</v>
      </c>
      <c r="G219" s="23">
        <v>189.160854555</v>
      </c>
      <c r="H219" s="24">
        <f t="shared" si="31"/>
        <v>0.5664</v>
      </c>
      <c r="I219" s="25">
        <f t="shared" si="35"/>
        <v>0.06666666667</v>
      </c>
      <c r="J219" s="24">
        <f t="shared" si="36"/>
        <v>0.04484406446</v>
      </c>
      <c r="K219" s="24">
        <f t="shared" si="37"/>
        <v>0.4970263197</v>
      </c>
      <c r="L219" s="24">
        <f t="shared" si="5"/>
        <v>0.9795413104</v>
      </c>
    </row>
    <row r="220">
      <c r="A220" s="20" t="s">
        <v>16</v>
      </c>
      <c r="B220" s="7" t="s">
        <v>40</v>
      </c>
      <c r="C220" s="7">
        <v>21.0</v>
      </c>
      <c r="D220" s="21">
        <v>0.89</v>
      </c>
      <c r="E220" s="74">
        <v>2.38</v>
      </c>
      <c r="F220" s="7">
        <v>0.007</v>
      </c>
      <c r="G220" s="23">
        <v>231.344032391999</v>
      </c>
      <c r="H220" s="24">
        <f t="shared" si="31"/>
        <v>0.6608</v>
      </c>
      <c r="I220" s="25">
        <f t="shared" si="35"/>
        <v>0.1333333333</v>
      </c>
      <c r="J220" s="24">
        <f t="shared" si="36"/>
        <v>0.1354705566</v>
      </c>
      <c r="K220" s="24">
        <f t="shared" si="37"/>
        <v>0.4304533094</v>
      </c>
      <c r="L220" s="24">
        <f t="shared" si="5"/>
        <v>1.001885785</v>
      </c>
    </row>
    <row r="221">
      <c r="A221" s="20" t="s">
        <v>16</v>
      </c>
      <c r="B221" s="7" t="s">
        <v>40</v>
      </c>
      <c r="C221" s="7">
        <v>22.0</v>
      </c>
      <c r="D221" s="21">
        <v>0.89</v>
      </c>
      <c r="E221" s="74">
        <v>3.08</v>
      </c>
      <c r="F221" s="7">
        <v>0.009</v>
      </c>
      <c r="G221" s="23">
        <v>287.653909047</v>
      </c>
      <c r="H221" s="24">
        <f t="shared" si="31"/>
        <v>0.8496</v>
      </c>
      <c r="I221" s="25">
        <f t="shared" si="35"/>
        <v>0.2666666667</v>
      </c>
      <c r="J221" s="24">
        <f t="shared" si="36"/>
        <v>0.2564468997</v>
      </c>
      <c r="K221" s="24">
        <f t="shared" si="37"/>
        <v>0.3480591936</v>
      </c>
      <c r="L221" s="24">
        <f t="shared" si="5"/>
        <v>0.991931763</v>
      </c>
    </row>
    <row r="222">
      <c r="A222" s="20" t="s">
        <v>16</v>
      </c>
      <c r="B222" s="7" t="s">
        <v>40</v>
      </c>
      <c r="C222" s="7">
        <v>23.0</v>
      </c>
      <c r="D222" s="21">
        <v>0.89</v>
      </c>
      <c r="E222" s="74">
        <v>2.54</v>
      </c>
      <c r="F222" s="7">
        <v>0.007</v>
      </c>
      <c r="G222" s="23">
        <v>242.665680035999</v>
      </c>
      <c r="H222" s="24">
        <f t="shared" si="31"/>
        <v>0.6608</v>
      </c>
      <c r="I222" s="25">
        <f t="shared" si="35"/>
        <v>0.1333333333</v>
      </c>
      <c r="J222" s="24">
        <f t="shared" si="36"/>
        <v>0.1597940255</v>
      </c>
      <c r="K222" s="24">
        <f t="shared" si="37"/>
        <v>0.4214257429</v>
      </c>
      <c r="L222" s="24">
        <f t="shared" si="5"/>
        <v>1.02334767</v>
      </c>
    </row>
    <row r="223">
      <c r="A223" s="20" t="s">
        <v>16</v>
      </c>
      <c r="B223" s="7" t="s">
        <v>40</v>
      </c>
      <c r="C223" s="7">
        <v>24.0</v>
      </c>
      <c r="D223" s="21">
        <v>0.89</v>
      </c>
      <c r="E223" s="74">
        <v>5.77</v>
      </c>
      <c r="F223" s="7">
        <v>0.017</v>
      </c>
      <c r="G223" s="23">
        <v>535.514068370999</v>
      </c>
      <c r="H223" s="24">
        <f t="shared" si="31"/>
        <v>1.6048</v>
      </c>
      <c r="I223" s="25">
        <f t="shared" si="35"/>
        <v>0.8</v>
      </c>
      <c r="J223" s="24">
        <f t="shared" si="36"/>
        <v>0.7889505645</v>
      </c>
      <c r="K223" s="24">
        <f t="shared" si="37"/>
        <v>0.1720238828</v>
      </c>
      <c r="L223" s="24">
        <f t="shared" si="5"/>
        <v>0.9938614247</v>
      </c>
    </row>
    <row r="224">
      <c r="A224" s="20" t="s">
        <v>16</v>
      </c>
      <c r="B224" s="7" t="s">
        <v>40</v>
      </c>
      <c r="C224" s="7">
        <v>25.0</v>
      </c>
      <c r="D224" s="21">
        <v>0.89</v>
      </c>
      <c r="E224" s="74">
        <v>4.65</v>
      </c>
      <c r="F224" s="7">
        <v>0.013</v>
      </c>
      <c r="G224" s="23">
        <v>434.153201394</v>
      </c>
      <c r="H224" s="24">
        <f t="shared" si="31"/>
        <v>1.2272</v>
      </c>
      <c r="I224" s="25">
        <f t="shared" si="35"/>
        <v>0.5333333333</v>
      </c>
      <c r="J224" s="24">
        <f t="shared" si="36"/>
        <v>0.5711865104</v>
      </c>
      <c r="K224" s="24">
        <f t="shared" si="37"/>
        <v>0.2299298055</v>
      </c>
      <c r="L224" s="24">
        <f t="shared" si="5"/>
        <v>1.024686855</v>
      </c>
    </row>
    <row r="225">
      <c r="A225" s="20" t="s">
        <v>16</v>
      </c>
      <c r="B225" s="7" t="s">
        <v>40</v>
      </c>
      <c r="C225" s="7">
        <v>26.0</v>
      </c>
      <c r="D225" s="21">
        <v>0.89</v>
      </c>
      <c r="E225" s="74">
        <v>4.87</v>
      </c>
      <c r="F225" s="7">
        <v>0.014</v>
      </c>
      <c r="G225" s="23">
        <v>451.294549817999</v>
      </c>
      <c r="H225" s="24">
        <f t="shared" si="31"/>
        <v>1.3216</v>
      </c>
      <c r="I225" s="25">
        <f t="shared" si="35"/>
        <v>0.6</v>
      </c>
      <c r="J225" s="24">
        <f t="shared" si="36"/>
        <v>0.6080130455</v>
      </c>
      <c r="K225" s="24">
        <f t="shared" si="37"/>
        <v>0.2153029796</v>
      </c>
      <c r="L225" s="24">
        <f t="shared" si="5"/>
        <v>1.005008153</v>
      </c>
    </row>
    <row r="226">
      <c r="A226" s="20" t="s">
        <v>16</v>
      </c>
      <c r="B226" s="7" t="s">
        <v>40</v>
      </c>
      <c r="C226" s="7">
        <v>27.0</v>
      </c>
      <c r="D226" s="21">
        <v>0.89</v>
      </c>
      <c r="E226" s="74">
        <v>2.04</v>
      </c>
      <c r="F226" s="7">
        <v>0.006</v>
      </c>
      <c r="G226" s="23">
        <v>194.248462900999</v>
      </c>
      <c r="H226" s="24">
        <f t="shared" si="31"/>
        <v>0.5664</v>
      </c>
      <c r="I226" s="25">
        <f t="shared" si="35"/>
        <v>0.06666666667</v>
      </c>
      <c r="J226" s="24">
        <f t="shared" si="36"/>
        <v>0.05577430068</v>
      </c>
      <c r="K226" s="24">
        <f t="shared" si="37"/>
        <v>0.4918806981</v>
      </c>
      <c r="L226" s="24">
        <f t="shared" si="5"/>
        <v>0.9897884069</v>
      </c>
    </row>
    <row r="227">
      <c r="A227" s="20" t="s">
        <v>16</v>
      </c>
      <c r="B227" s="7" t="s">
        <v>40</v>
      </c>
      <c r="C227" s="7">
        <v>28.0</v>
      </c>
      <c r="D227" s="21">
        <v>0.89</v>
      </c>
      <c r="E227" s="74">
        <v>1.85</v>
      </c>
      <c r="F227" s="7">
        <v>0.005</v>
      </c>
      <c r="G227" s="23">
        <v>178.067070125</v>
      </c>
      <c r="H227" s="24">
        <f t="shared" si="31"/>
        <v>0.472</v>
      </c>
      <c r="I227" s="25">
        <f t="shared" si="35"/>
        <v>0</v>
      </c>
      <c r="J227" s="24">
        <f t="shared" si="36"/>
        <v>0.02101013778</v>
      </c>
      <c r="K227" s="24">
        <f t="shared" si="37"/>
        <v>0.5425372183</v>
      </c>
      <c r="L227" s="24">
        <f t="shared" si="5"/>
        <v>1.021010138</v>
      </c>
    </row>
    <row r="228">
      <c r="A228" s="20" t="s">
        <v>16</v>
      </c>
      <c r="B228" s="7" t="s">
        <v>40</v>
      </c>
      <c r="C228" s="7">
        <v>29.0</v>
      </c>
      <c r="D228" s="21">
        <v>0.89</v>
      </c>
      <c r="E228" s="74">
        <v>2.67</v>
      </c>
      <c r="F228" s="7">
        <v>0.008</v>
      </c>
      <c r="G228" s="23">
        <v>251.290439820999</v>
      </c>
      <c r="H228" s="24">
        <f t="shared" si="31"/>
        <v>0.7552</v>
      </c>
      <c r="I228" s="25">
        <f t="shared" si="35"/>
        <v>0.2</v>
      </c>
      <c r="J228" s="24">
        <f t="shared" si="36"/>
        <v>0.1783234907</v>
      </c>
      <c r="K228" s="24">
        <f t="shared" si="37"/>
        <v>0.3917543332</v>
      </c>
      <c r="L228" s="24">
        <f t="shared" si="5"/>
        <v>0.9819362422</v>
      </c>
    </row>
    <row r="229">
      <c r="A229" s="20" t="s">
        <v>16</v>
      </c>
      <c r="B229" s="7" t="s">
        <v>40</v>
      </c>
      <c r="C229" s="7">
        <v>30.0</v>
      </c>
      <c r="D229" s="21">
        <v>0.89</v>
      </c>
      <c r="E229" s="74">
        <v>2.35</v>
      </c>
      <c r="F229" s="7">
        <v>0.007</v>
      </c>
      <c r="G229" s="23">
        <v>222.964205282</v>
      </c>
      <c r="H229" s="24">
        <f t="shared" si="31"/>
        <v>0.6608</v>
      </c>
      <c r="I229" s="25">
        <f t="shared" si="35"/>
        <v>0.1333333333</v>
      </c>
      <c r="J229" s="24">
        <f t="shared" si="36"/>
        <v>0.1174673057</v>
      </c>
      <c r="K229" s="24">
        <f t="shared" si="37"/>
        <v>0.4373882407</v>
      </c>
      <c r="L229" s="24">
        <f t="shared" si="5"/>
        <v>0.9860005638</v>
      </c>
    </row>
    <row r="230">
      <c r="A230" s="20" t="s">
        <v>16</v>
      </c>
      <c r="B230" s="7" t="s">
        <v>40</v>
      </c>
      <c r="C230" s="7">
        <v>31.0</v>
      </c>
      <c r="D230" s="21">
        <v>0.89</v>
      </c>
      <c r="E230" s="74">
        <v>2.72</v>
      </c>
      <c r="F230" s="7">
        <v>0.008</v>
      </c>
      <c r="G230" s="23">
        <v>258.101765005998</v>
      </c>
      <c r="H230" s="24">
        <f t="shared" si="31"/>
        <v>0.7552</v>
      </c>
      <c r="I230" s="25">
        <f t="shared" si="35"/>
        <v>0.2</v>
      </c>
      <c r="J230" s="24">
        <f t="shared" si="36"/>
        <v>0.1929569664</v>
      </c>
      <c r="K230" s="24">
        <f t="shared" si="37"/>
        <v>0.3869488559</v>
      </c>
      <c r="L230" s="24">
        <f t="shared" si="5"/>
        <v>0.9941308053</v>
      </c>
    </row>
    <row r="231">
      <c r="A231" s="20" t="s">
        <v>16</v>
      </c>
      <c r="B231" s="7" t="s">
        <v>40</v>
      </c>
      <c r="C231" s="7">
        <v>32.0</v>
      </c>
      <c r="D231" s="21">
        <v>0.89</v>
      </c>
      <c r="E231" s="74">
        <v>3.95</v>
      </c>
      <c r="F231" s="7">
        <v>0.011</v>
      </c>
      <c r="G231" s="23">
        <v>375.068647918</v>
      </c>
      <c r="H231" s="24">
        <f t="shared" si="31"/>
        <v>1.0384</v>
      </c>
      <c r="I231" s="25">
        <f t="shared" si="35"/>
        <v>0.4</v>
      </c>
      <c r="J231" s="24">
        <f t="shared" si="36"/>
        <v>0.4442490416</v>
      </c>
      <c r="K231" s="24">
        <f t="shared" si="37"/>
        <v>0.2739614568</v>
      </c>
      <c r="L231" s="24">
        <f t="shared" si="5"/>
        <v>1.031606458</v>
      </c>
    </row>
    <row r="232">
      <c r="A232" s="20" t="s">
        <v>16</v>
      </c>
      <c r="B232" s="7" t="s">
        <v>40</v>
      </c>
      <c r="C232" s="7">
        <v>33.0</v>
      </c>
      <c r="D232" s="21">
        <v>0.89</v>
      </c>
      <c r="E232" s="74">
        <v>2.41</v>
      </c>
      <c r="F232" s="7">
        <v>0.007</v>
      </c>
      <c r="G232" s="23">
        <v>231.854213194999</v>
      </c>
      <c r="H232" s="24">
        <f t="shared" si="31"/>
        <v>0.6608</v>
      </c>
      <c r="I232" s="25">
        <f t="shared" si="35"/>
        <v>0.1333333333</v>
      </c>
      <c r="J232" s="24">
        <f t="shared" si="36"/>
        <v>0.1365666309</v>
      </c>
      <c r="K232" s="24">
        <f t="shared" si="37"/>
        <v>0.4300381918</v>
      </c>
      <c r="L232" s="24">
        <f t="shared" si="5"/>
        <v>1.00285291</v>
      </c>
    </row>
    <row r="233">
      <c r="A233" s="57" t="s">
        <v>16</v>
      </c>
      <c r="B233" s="58" t="s">
        <v>54</v>
      </c>
      <c r="C233" s="7">
        <v>1.0</v>
      </c>
      <c r="D233" s="21">
        <v>0.93</v>
      </c>
      <c r="E233" s="74">
        <v>0.84</v>
      </c>
      <c r="F233" s="7">
        <v>0.006</v>
      </c>
      <c r="G233" s="23">
        <v>207.222893432999</v>
      </c>
      <c r="H233" s="24">
        <f t="shared" ref="H233:H265" si="38">F233*207/5</f>
        <v>0.2484</v>
      </c>
      <c r="I233" s="25">
        <f t="shared" ref="I233:I265" si="39">(H233-MIN($H$233:$H$265))/(MAX($H$233:$H$265)-MIN($H$233:$H$265))</f>
        <v>0.09090909091</v>
      </c>
      <c r="J233" s="24">
        <f t="shared" ref="J233:J265" si="40">(G233-MIN($G$233:$G$265))/(MAX($G$233:$G$265)-MIN($G$233:$G$265))</f>
        <v>0.1613785518</v>
      </c>
      <c r="K233" s="24">
        <f t="shared" ref="K233:K265" si="41">0.93*(1/(1+I233))*(1/(1+J233))*(1-0.0207)</f>
        <v>0.7188467952</v>
      </c>
      <c r="L233" s="24">
        <f t="shared" si="5"/>
        <v>1.064597006</v>
      </c>
    </row>
    <row r="234">
      <c r="A234" s="20" t="s">
        <v>16</v>
      </c>
      <c r="B234" s="7" t="s">
        <v>54</v>
      </c>
      <c r="C234" s="7">
        <v>2.0</v>
      </c>
      <c r="D234" s="21">
        <v>0.93</v>
      </c>
      <c r="E234" s="74">
        <v>0.85</v>
      </c>
      <c r="F234" s="7">
        <v>0.006</v>
      </c>
      <c r="G234" s="23">
        <v>203.030607864999</v>
      </c>
      <c r="H234" s="24">
        <f t="shared" si="38"/>
        <v>0.2484</v>
      </c>
      <c r="I234" s="25">
        <f t="shared" si="39"/>
        <v>0.09090909091</v>
      </c>
      <c r="J234" s="24">
        <f t="shared" si="40"/>
        <v>0.1491120783</v>
      </c>
      <c r="K234" s="24">
        <f t="shared" si="41"/>
        <v>0.7265202984</v>
      </c>
      <c r="L234" s="24">
        <f t="shared" si="5"/>
        <v>1.053352738</v>
      </c>
    </row>
    <row r="235">
      <c r="A235" s="20" t="s">
        <v>16</v>
      </c>
      <c r="B235" s="7" t="s">
        <v>54</v>
      </c>
      <c r="C235" s="7">
        <v>3.0</v>
      </c>
      <c r="D235" s="21">
        <v>0.93</v>
      </c>
      <c r="E235" s="74">
        <v>0.78</v>
      </c>
      <c r="F235" s="7">
        <v>0.006</v>
      </c>
      <c r="G235" s="23">
        <v>185.262707055</v>
      </c>
      <c r="H235" s="24">
        <f t="shared" si="38"/>
        <v>0.2484</v>
      </c>
      <c r="I235" s="25">
        <f t="shared" si="39"/>
        <v>0.09090909091</v>
      </c>
      <c r="J235" s="24">
        <f t="shared" si="40"/>
        <v>0.0971238538</v>
      </c>
      <c r="K235" s="24">
        <f t="shared" si="41"/>
        <v>0.760947132</v>
      </c>
      <c r="L235" s="24">
        <f t="shared" si="5"/>
        <v>1.005696866</v>
      </c>
    </row>
    <row r="236">
      <c r="A236" s="20" t="s">
        <v>16</v>
      </c>
      <c r="B236" s="7" t="s">
        <v>54</v>
      </c>
      <c r="C236" s="7">
        <v>4.0</v>
      </c>
      <c r="D236" s="21">
        <v>0.93</v>
      </c>
      <c r="E236" s="74">
        <v>0.71</v>
      </c>
      <c r="F236" s="7">
        <v>0.005</v>
      </c>
      <c r="G236" s="23">
        <v>169.186742628</v>
      </c>
      <c r="H236" s="24">
        <f t="shared" si="38"/>
        <v>0.207</v>
      </c>
      <c r="I236" s="25">
        <f t="shared" si="39"/>
        <v>0</v>
      </c>
      <c r="J236" s="24">
        <f t="shared" si="40"/>
        <v>0.05008617293</v>
      </c>
      <c r="K236" s="24">
        <f t="shared" si="41"/>
        <v>0.8673088204</v>
      </c>
      <c r="L236" s="24">
        <f t="shared" si="5"/>
        <v>1.050086173</v>
      </c>
    </row>
    <row r="237">
      <c r="A237" s="20" t="s">
        <v>16</v>
      </c>
      <c r="B237" s="7" t="s">
        <v>54</v>
      </c>
      <c r="C237" s="7">
        <v>5.0</v>
      </c>
      <c r="D237" s="21">
        <v>0.93</v>
      </c>
      <c r="E237" s="74">
        <v>0.77</v>
      </c>
      <c r="F237" s="7">
        <v>0.006</v>
      </c>
      <c r="G237" s="23">
        <v>181.872964007999</v>
      </c>
      <c r="H237" s="24">
        <f t="shared" si="38"/>
        <v>0.2484</v>
      </c>
      <c r="I237" s="25">
        <f t="shared" si="39"/>
        <v>0.09090909091</v>
      </c>
      <c r="J237" s="24">
        <f t="shared" si="40"/>
        <v>0.08720559027</v>
      </c>
      <c r="K237" s="24">
        <f t="shared" si="41"/>
        <v>0.7678890336</v>
      </c>
      <c r="L237" s="24">
        <f t="shared" si="5"/>
        <v>0.9966051244</v>
      </c>
    </row>
    <row r="238">
      <c r="A238" s="20" t="s">
        <v>16</v>
      </c>
      <c r="B238" s="7" t="s">
        <v>54</v>
      </c>
      <c r="C238" s="7">
        <v>6.0</v>
      </c>
      <c r="D238" s="21">
        <v>0.93</v>
      </c>
      <c r="E238" s="74">
        <v>0.64</v>
      </c>
      <c r="F238" s="7">
        <v>0.005</v>
      </c>
      <c r="G238" s="23">
        <v>152.068901795</v>
      </c>
      <c r="H238" s="24">
        <f t="shared" si="38"/>
        <v>0.207</v>
      </c>
      <c r="I238" s="25">
        <f t="shared" si="39"/>
        <v>0</v>
      </c>
      <c r="J238" s="24">
        <f t="shared" si="40"/>
        <v>0</v>
      </c>
      <c r="K238" s="24">
        <f t="shared" si="41"/>
        <v>0.910749</v>
      </c>
      <c r="L238" s="24">
        <f t="shared" si="5"/>
        <v>1</v>
      </c>
    </row>
    <row r="239">
      <c r="A239" s="20" t="s">
        <v>16</v>
      </c>
      <c r="B239" s="7" t="s">
        <v>54</v>
      </c>
      <c r="C239" s="7">
        <v>7.0</v>
      </c>
      <c r="D239" s="21">
        <v>0.93</v>
      </c>
      <c r="E239" s="74">
        <v>0.83</v>
      </c>
      <c r="F239" s="7">
        <v>0.006</v>
      </c>
      <c r="G239" s="23">
        <v>193.372025470999</v>
      </c>
      <c r="H239" s="24">
        <f t="shared" si="38"/>
        <v>0.2484</v>
      </c>
      <c r="I239" s="25">
        <f t="shared" si="39"/>
        <v>0.09090909091</v>
      </c>
      <c r="J239" s="24">
        <f t="shared" si="40"/>
        <v>0.1208514213</v>
      </c>
      <c r="K239" s="24">
        <f t="shared" si="41"/>
        <v>0.7448384631</v>
      </c>
      <c r="L239" s="24">
        <f t="shared" si="5"/>
        <v>1.027447136</v>
      </c>
    </row>
    <row r="240">
      <c r="A240" s="20" t="s">
        <v>16</v>
      </c>
      <c r="B240" s="7" t="s">
        <v>54</v>
      </c>
      <c r="C240" s="7">
        <v>8.0</v>
      </c>
      <c r="D240" s="21">
        <v>0.93</v>
      </c>
      <c r="E240" s="74">
        <v>0.98</v>
      </c>
      <c r="F240" s="7">
        <v>0.007</v>
      </c>
      <c r="G240" s="23">
        <v>227.955484959999</v>
      </c>
      <c r="H240" s="24">
        <f t="shared" si="38"/>
        <v>0.2898</v>
      </c>
      <c r="I240" s="25">
        <f t="shared" si="39"/>
        <v>0.1818181818</v>
      </c>
      <c r="J240" s="24">
        <f t="shared" si="40"/>
        <v>0.2220413523</v>
      </c>
      <c r="K240" s="24">
        <f t="shared" si="41"/>
        <v>0.6306118592</v>
      </c>
      <c r="L240" s="24">
        <f t="shared" si="5"/>
        <v>1.03403499</v>
      </c>
    </row>
    <row r="241">
      <c r="A241" s="20" t="s">
        <v>16</v>
      </c>
      <c r="B241" s="7" t="s">
        <v>54</v>
      </c>
      <c r="C241" s="7">
        <v>9.0</v>
      </c>
      <c r="D241" s="21">
        <v>0.93</v>
      </c>
      <c r="E241" s="74">
        <v>0.74</v>
      </c>
      <c r="F241" s="7">
        <v>0.005</v>
      </c>
      <c r="G241" s="23">
        <v>174.878722343999</v>
      </c>
      <c r="H241" s="24">
        <f t="shared" si="38"/>
        <v>0.207</v>
      </c>
      <c r="I241" s="25">
        <f t="shared" si="39"/>
        <v>0</v>
      </c>
      <c r="J241" s="24">
        <f t="shared" si="40"/>
        <v>0.06674069631</v>
      </c>
      <c r="K241" s="24">
        <f t="shared" si="41"/>
        <v>0.8537679336</v>
      </c>
      <c r="L241" s="24">
        <f t="shared" si="5"/>
        <v>1.066740696</v>
      </c>
    </row>
    <row r="242">
      <c r="A242" s="20" t="s">
        <v>16</v>
      </c>
      <c r="B242" s="7" t="s">
        <v>54</v>
      </c>
      <c r="C242" s="7">
        <v>10.0</v>
      </c>
      <c r="D242" s="21">
        <v>0.93</v>
      </c>
      <c r="E242" s="74">
        <v>0.8</v>
      </c>
      <c r="F242" s="7">
        <v>0.006</v>
      </c>
      <c r="G242" s="23">
        <v>188.756164035</v>
      </c>
      <c r="H242" s="24">
        <f t="shared" si="38"/>
        <v>0.2484</v>
      </c>
      <c r="I242" s="25">
        <f t="shared" si="39"/>
        <v>0.09090909091</v>
      </c>
      <c r="J242" s="24">
        <f t="shared" si="40"/>
        <v>0.1073455805</v>
      </c>
      <c r="K242" s="24">
        <f t="shared" si="41"/>
        <v>0.753922953</v>
      </c>
      <c r="L242" s="24">
        <f t="shared" si="5"/>
        <v>1.015066782</v>
      </c>
    </row>
    <row r="243">
      <c r="A243" s="20" t="s">
        <v>16</v>
      </c>
      <c r="B243" s="7" t="s">
        <v>54</v>
      </c>
      <c r="C243" s="7">
        <v>11.0</v>
      </c>
      <c r="D243" s="21">
        <v>0.93</v>
      </c>
      <c r="E243" s="74">
        <v>0.65</v>
      </c>
      <c r="F243" s="7">
        <v>0.005</v>
      </c>
      <c r="G243" s="23">
        <v>152.45701919</v>
      </c>
      <c r="H243" s="24">
        <f t="shared" si="38"/>
        <v>0.207</v>
      </c>
      <c r="I243" s="25">
        <f t="shared" si="39"/>
        <v>0</v>
      </c>
      <c r="J243" s="24">
        <f t="shared" si="40"/>
        <v>0.001135617228</v>
      </c>
      <c r="K243" s="24">
        <f t="shared" si="41"/>
        <v>0.9097159109</v>
      </c>
      <c r="L243" s="24">
        <f t="shared" si="5"/>
        <v>1.001135617</v>
      </c>
    </row>
    <row r="244">
      <c r="A244" s="20" t="s">
        <v>16</v>
      </c>
      <c r="B244" s="7" t="s">
        <v>54</v>
      </c>
      <c r="C244" s="7">
        <v>12.0</v>
      </c>
      <c r="D244" s="21">
        <v>0.93</v>
      </c>
      <c r="E244" s="74">
        <v>0.74</v>
      </c>
      <c r="F244" s="7">
        <v>0.005</v>
      </c>
      <c r="G244" s="23">
        <v>172.797901109</v>
      </c>
      <c r="H244" s="24">
        <f t="shared" si="38"/>
        <v>0.207</v>
      </c>
      <c r="I244" s="25">
        <f t="shared" si="39"/>
        <v>0</v>
      </c>
      <c r="J244" s="24">
        <f t="shared" si="40"/>
        <v>0.06065228988</v>
      </c>
      <c r="K244" s="24">
        <f t="shared" si="41"/>
        <v>0.8586687727</v>
      </c>
      <c r="L244" s="24">
        <f t="shared" si="5"/>
        <v>1.06065229</v>
      </c>
    </row>
    <row r="245">
      <c r="A245" s="20" t="s">
        <v>16</v>
      </c>
      <c r="B245" s="7" t="s">
        <v>54</v>
      </c>
      <c r="C245" s="7">
        <v>13.0</v>
      </c>
      <c r="D245" s="21">
        <v>0.93</v>
      </c>
      <c r="E245" s="74">
        <v>0.82</v>
      </c>
      <c r="F245" s="7">
        <v>0.006</v>
      </c>
      <c r="G245" s="23">
        <v>192.336294077999</v>
      </c>
      <c r="H245" s="24">
        <f t="shared" si="38"/>
        <v>0.2484</v>
      </c>
      <c r="I245" s="25">
        <f t="shared" si="39"/>
        <v>0.09090909091</v>
      </c>
      <c r="J245" s="24">
        <f t="shared" si="40"/>
        <v>0.1178209094</v>
      </c>
      <c r="K245" s="24">
        <f t="shared" si="41"/>
        <v>0.7468577864</v>
      </c>
      <c r="L245" s="24">
        <f t="shared" si="5"/>
        <v>1.024669167</v>
      </c>
    </row>
    <row r="246">
      <c r="A246" s="20" t="s">
        <v>16</v>
      </c>
      <c r="B246" s="7" t="s">
        <v>54</v>
      </c>
      <c r="C246" s="7">
        <v>14.0</v>
      </c>
      <c r="D246" s="21">
        <v>0.93</v>
      </c>
      <c r="E246" s="74">
        <v>1.47</v>
      </c>
      <c r="F246" s="7">
        <v>0.011</v>
      </c>
      <c r="G246" s="23">
        <v>337.744323459</v>
      </c>
      <c r="H246" s="24">
        <f t="shared" si="38"/>
        <v>0.4554</v>
      </c>
      <c r="I246" s="25">
        <f t="shared" si="39"/>
        <v>0.5454545455</v>
      </c>
      <c r="J246" s="24">
        <f t="shared" si="40"/>
        <v>0.5432794573</v>
      </c>
      <c r="K246" s="24">
        <f t="shared" si="41"/>
        <v>0.3818544812</v>
      </c>
      <c r="L246" s="24">
        <f t="shared" si="5"/>
        <v>0.99859259</v>
      </c>
    </row>
    <row r="247">
      <c r="A247" s="20" t="s">
        <v>16</v>
      </c>
      <c r="B247" s="7" t="s">
        <v>54</v>
      </c>
      <c r="C247" s="7">
        <v>15.0</v>
      </c>
      <c r="D247" s="21">
        <v>0.93</v>
      </c>
      <c r="E247" s="74">
        <v>0.97</v>
      </c>
      <c r="F247" s="7">
        <v>0.007</v>
      </c>
      <c r="G247" s="23">
        <v>225.663520612999</v>
      </c>
      <c r="H247" s="24">
        <f t="shared" si="38"/>
        <v>0.2898</v>
      </c>
      <c r="I247" s="25">
        <f t="shared" si="39"/>
        <v>0.1818181818</v>
      </c>
      <c r="J247" s="24">
        <f t="shared" si="40"/>
        <v>0.2153351489</v>
      </c>
      <c r="K247" s="24">
        <f t="shared" si="41"/>
        <v>0.6340915672</v>
      </c>
      <c r="L247" s="24">
        <f t="shared" si="5"/>
        <v>1.028360511</v>
      </c>
    </row>
    <row r="248">
      <c r="A248" s="20" t="s">
        <v>16</v>
      </c>
      <c r="B248" s="7" t="s">
        <v>54</v>
      </c>
      <c r="C248" s="7">
        <v>16.0</v>
      </c>
      <c r="D248" s="21">
        <v>0.93</v>
      </c>
      <c r="E248" s="74">
        <v>2.16</v>
      </c>
      <c r="F248" s="7">
        <v>0.016</v>
      </c>
      <c r="G248" s="23">
        <v>493.836695819</v>
      </c>
      <c r="H248" s="24">
        <f t="shared" si="38"/>
        <v>0.6624</v>
      </c>
      <c r="I248" s="25">
        <f t="shared" si="39"/>
        <v>1</v>
      </c>
      <c r="J248" s="24">
        <f t="shared" si="40"/>
        <v>1</v>
      </c>
      <c r="K248" s="24">
        <f t="shared" si="41"/>
        <v>0.22768725</v>
      </c>
      <c r="L248" s="24">
        <f t="shared" si="5"/>
        <v>1</v>
      </c>
    </row>
    <row r="249">
      <c r="A249" s="20" t="s">
        <v>16</v>
      </c>
      <c r="B249" s="7" t="s">
        <v>54</v>
      </c>
      <c r="C249" s="7">
        <v>17.0</v>
      </c>
      <c r="D249" s="21">
        <v>0.93</v>
      </c>
      <c r="E249" s="74">
        <v>0.88</v>
      </c>
      <c r="F249" s="7">
        <v>0.006</v>
      </c>
      <c r="G249" s="23">
        <v>204.46037001</v>
      </c>
      <c r="H249" s="24">
        <f t="shared" si="38"/>
        <v>0.2484</v>
      </c>
      <c r="I249" s="25">
        <f t="shared" si="39"/>
        <v>0.09090909091</v>
      </c>
      <c r="J249" s="24">
        <f t="shared" si="40"/>
        <v>0.1532955098</v>
      </c>
      <c r="K249" s="24">
        <f t="shared" si="41"/>
        <v>0.7238849392</v>
      </c>
      <c r="L249" s="24">
        <f t="shared" si="5"/>
        <v>1.057187551</v>
      </c>
    </row>
    <row r="250">
      <c r="A250" s="20" t="s">
        <v>16</v>
      </c>
      <c r="B250" s="7" t="s">
        <v>54</v>
      </c>
      <c r="C250" s="7">
        <v>18.0</v>
      </c>
      <c r="D250" s="21">
        <v>0.93</v>
      </c>
      <c r="E250" s="74">
        <v>0.95</v>
      </c>
      <c r="F250" s="7">
        <v>0.007</v>
      </c>
      <c r="G250" s="23">
        <v>221.573412134</v>
      </c>
      <c r="H250" s="24">
        <f t="shared" si="38"/>
        <v>0.2898</v>
      </c>
      <c r="I250" s="25">
        <f t="shared" si="39"/>
        <v>0.1818181818</v>
      </c>
      <c r="J250" s="24">
        <f t="shared" si="40"/>
        <v>0.2033676419</v>
      </c>
      <c r="K250" s="24">
        <f t="shared" si="41"/>
        <v>0.6403976162</v>
      </c>
      <c r="L250" s="24">
        <f t="shared" si="5"/>
        <v>1.018234159</v>
      </c>
    </row>
    <row r="251">
      <c r="A251" s="20" t="s">
        <v>16</v>
      </c>
      <c r="B251" s="7" t="s">
        <v>54</v>
      </c>
      <c r="C251" s="7">
        <v>19.0</v>
      </c>
      <c r="D251" s="21">
        <v>0.93</v>
      </c>
      <c r="E251" s="74">
        <v>0.94</v>
      </c>
      <c r="F251" s="7">
        <v>0.007</v>
      </c>
      <c r="G251" s="23">
        <v>216.552695892</v>
      </c>
      <c r="H251" s="24">
        <f t="shared" si="38"/>
        <v>0.2898</v>
      </c>
      <c r="I251" s="25">
        <f t="shared" si="39"/>
        <v>0.1818181818</v>
      </c>
      <c r="J251" s="24">
        <f t="shared" si="40"/>
        <v>0.1886772107</v>
      </c>
      <c r="K251" s="24">
        <f t="shared" si="41"/>
        <v>0.6483120584</v>
      </c>
      <c r="L251" s="24">
        <f t="shared" si="5"/>
        <v>1.005803794</v>
      </c>
    </row>
    <row r="252">
      <c r="A252" s="20" t="s">
        <v>16</v>
      </c>
      <c r="B252" s="7" t="s">
        <v>54</v>
      </c>
      <c r="C252" s="7">
        <v>20.0</v>
      </c>
      <c r="D252" s="21">
        <v>0.93</v>
      </c>
      <c r="E252" s="74">
        <v>0.73</v>
      </c>
      <c r="F252" s="7">
        <v>0.005</v>
      </c>
      <c r="G252" s="23">
        <v>171.498824377</v>
      </c>
      <c r="H252" s="24">
        <f t="shared" si="38"/>
        <v>0.207</v>
      </c>
      <c r="I252" s="25">
        <f t="shared" si="39"/>
        <v>0</v>
      </c>
      <c r="J252" s="24">
        <f t="shared" si="40"/>
        <v>0.05685123912</v>
      </c>
      <c r="K252" s="24">
        <f t="shared" si="41"/>
        <v>0.8617570442</v>
      </c>
      <c r="L252" s="24">
        <f t="shared" si="5"/>
        <v>1.056851239</v>
      </c>
    </row>
    <row r="253">
      <c r="A253" s="20" t="s">
        <v>16</v>
      </c>
      <c r="B253" s="7" t="s">
        <v>54</v>
      </c>
      <c r="C253" s="7">
        <v>21.0</v>
      </c>
      <c r="D253" s="21">
        <v>0.93</v>
      </c>
      <c r="E253" s="74">
        <v>0.72</v>
      </c>
      <c r="F253" s="7">
        <v>0.005</v>
      </c>
      <c r="G253" s="23">
        <v>171.002513450999</v>
      </c>
      <c r="H253" s="24">
        <f t="shared" si="38"/>
        <v>0.207</v>
      </c>
      <c r="I253" s="25">
        <f t="shared" si="39"/>
        <v>0</v>
      </c>
      <c r="J253" s="24">
        <f t="shared" si="40"/>
        <v>0.0553990516</v>
      </c>
      <c r="K253" s="24">
        <f t="shared" si="41"/>
        <v>0.862942788</v>
      </c>
      <c r="L253" s="24">
        <f t="shared" si="5"/>
        <v>1.055399052</v>
      </c>
    </row>
    <row r="254">
      <c r="A254" s="20" t="s">
        <v>16</v>
      </c>
      <c r="B254" s="7" t="s">
        <v>54</v>
      </c>
      <c r="C254" s="7">
        <v>22.0</v>
      </c>
      <c r="D254" s="21">
        <v>0.93</v>
      </c>
      <c r="E254" s="74">
        <v>1.56</v>
      </c>
      <c r="F254" s="7">
        <v>0.011</v>
      </c>
      <c r="G254" s="23">
        <v>356.961459567999</v>
      </c>
      <c r="H254" s="24">
        <f t="shared" si="38"/>
        <v>0.4554</v>
      </c>
      <c r="I254" s="25">
        <f t="shared" si="39"/>
        <v>0.5454545455</v>
      </c>
      <c r="J254" s="24">
        <f t="shared" si="40"/>
        <v>0.599508091</v>
      </c>
      <c r="K254" s="24">
        <f t="shared" si="41"/>
        <v>0.3684308818</v>
      </c>
      <c r="L254" s="24">
        <f t="shared" si="5"/>
        <v>1.034975824</v>
      </c>
    </row>
    <row r="255">
      <c r="A255" s="20" t="s">
        <v>16</v>
      </c>
      <c r="B255" s="7" t="s">
        <v>54</v>
      </c>
      <c r="C255" s="7">
        <v>23.0</v>
      </c>
      <c r="D255" s="21">
        <v>0.93</v>
      </c>
      <c r="E255" s="74">
        <v>0.89</v>
      </c>
      <c r="F255" s="7">
        <v>0.006</v>
      </c>
      <c r="G255" s="23">
        <v>207.467744293</v>
      </c>
      <c r="H255" s="24">
        <f t="shared" si="38"/>
        <v>0.2484</v>
      </c>
      <c r="I255" s="25">
        <f t="shared" si="39"/>
        <v>0.09090909091</v>
      </c>
      <c r="J255" s="24">
        <f t="shared" si="40"/>
        <v>0.1620949764</v>
      </c>
      <c r="K255" s="24">
        <f t="shared" si="41"/>
        <v>0.7184036305</v>
      </c>
      <c r="L255" s="24">
        <f t="shared" si="5"/>
        <v>1.065253728</v>
      </c>
    </row>
    <row r="256">
      <c r="A256" s="20" t="s">
        <v>16</v>
      </c>
      <c r="B256" s="7" t="s">
        <v>54</v>
      </c>
      <c r="C256" s="7">
        <v>24.0</v>
      </c>
      <c r="D256" s="21">
        <v>0.93</v>
      </c>
      <c r="E256" s="74">
        <v>1.03</v>
      </c>
      <c r="F256" s="7">
        <v>0.007</v>
      </c>
      <c r="G256" s="23">
        <v>238.301436564</v>
      </c>
      <c r="H256" s="24">
        <f t="shared" si="38"/>
        <v>0.2898</v>
      </c>
      <c r="I256" s="25">
        <f t="shared" si="39"/>
        <v>0.1818181818</v>
      </c>
      <c r="J256" s="24">
        <f t="shared" si="40"/>
        <v>0.2523132263</v>
      </c>
      <c r="K256" s="24">
        <f t="shared" si="41"/>
        <v>0.6153682266</v>
      </c>
      <c r="L256" s="24">
        <f t="shared" si="5"/>
        <v>1.059649653</v>
      </c>
    </row>
    <row r="257">
      <c r="A257" s="20" t="s">
        <v>16</v>
      </c>
      <c r="B257" s="7" t="s">
        <v>54</v>
      </c>
      <c r="C257" s="7">
        <v>25.0</v>
      </c>
      <c r="D257" s="21">
        <v>0.93</v>
      </c>
      <c r="E257" s="74">
        <v>1.57</v>
      </c>
      <c r="F257" s="7">
        <v>0.011</v>
      </c>
      <c r="G257" s="23">
        <v>361.986162094999</v>
      </c>
      <c r="H257" s="24">
        <f t="shared" si="38"/>
        <v>0.4554</v>
      </c>
      <c r="I257" s="25">
        <f t="shared" si="39"/>
        <v>0.5454545455</v>
      </c>
      <c r="J257" s="24">
        <f t="shared" si="40"/>
        <v>0.6142101859</v>
      </c>
      <c r="K257" s="24">
        <f t="shared" si="41"/>
        <v>0.3650752434</v>
      </c>
      <c r="L257" s="24">
        <f t="shared" si="5"/>
        <v>1.044488944</v>
      </c>
    </row>
    <row r="258">
      <c r="A258" s="20" t="s">
        <v>16</v>
      </c>
      <c r="B258" s="7" t="s">
        <v>54</v>
      </c>
      <c r="C258" s="7">
        <v>26.0</v>
      </c>
      <c r="D258" s="21">
        <v>0.93</v>
      </c>
      <c r="E258" s="74">
        <v>0.97</v>
      </c>
      <c r="F258" s="7">
        <v>0.007</v>
      </c>
      <c r="G258" s="23">
        <v>222.850763681</v>
      </c>
      <c r="H258" s="24">
        <f t="shared" si="38"/>
        <v>0.2898</v>
      </c>
      <c r="I258" s="25">
        <f t="shared" si="39"/>
        <v>0.1818181818</v>
      </c>
      <c r="J258" s="24">
        <f t="shared" si="40"/>
        <v>0.2071051255</v>
      </c>
      <c r="K258" s="24">
        <f t="shared" si="41"/>
        <v>0.6384147933</v>
      </c>
      <c r="L258" s="24">
        <f t="shared" si="5"/>
        <v>1.021396645</v>
      </c>
    </row>
    <row r="259">
      <c r="A259" s="20" t="s">
        <v>16</v>
      </c>
      <c r="B259" s="7" t="s">
        <v>54</v>
      </c>
      <c r="C259" s="7">
        <v>27.0</v>
      </c>
      <c r="D259" s="21">
        <v>0.93</v>
      </c>
      <c r="E259" s="74">
        <v>0.75</v>
      </c>
      <c r="F259" s="7">
        <v>0.005</v>
      </c>
      <c r="G259" s="23">
        <v>175.817146868</v>
      </c>
      <c r="H259" s="24">
        <f t="shared" si="38"/>
        <v>0.207</v>
      </c>
      <c r="I259" s="25">
        <f t="shared" si="39"/>
        <v>0</v>
      </c>
      <c r="J259" s="24">
        <f t="shared" si="40"/>
        <v>0.06948649196</v>
      </c>
      <c r="K259" s="24">
        <f t="shared" si="41"/>
        <v>0.851575973</v>
      </c>
      <c r="L259" s="24">
        <f t="shared" si="5"/>
        <v>1.069486492</v>
      </c>
    </row>
    <row r="260">
      <c r="A260" s="20" t="s">
        <v>16</v>
      </c>
      <c r="B260" s="7" t="s">
        <v>54</v>
      </c>
      <c r="C260" s="7">
        <v>28.0</v>
      </c>
      <c r="D260" s="21">
        <v>0.93</v>
      </c>
      <c r="E260" s="74">
        <v>0.81</v>
      </c>
      <c r="F260" s="7">
        <v>0.006</v>
      </c>
      <c r="G260" s="23">
        <v>191.851191828</v>
      </c>
      <c r="H260" s="24">
        <f t="shared" si="38"/>
        <v>0.2484</v>
      </c>
      <c r="I260" s="25">
        <f t="shared" si="39"/>
        <v>0.09090909091</v>
      </c>
      <c r="J260" s="24">
        <f t="shared" si="40"/>
        <v>0.116401518</v>
      </c>
      <c r="K260" s="24">
        <f t="shared" si="41"/>
        <v>0.7478073404</v>
      </c>
      <c r="L260" s="24">
        <f t="shared" si="5"/>
        <v>1.023368058</v>
      </c>
    </row>
    <row r="261">
      <c r="A261" s="20" t="s">
        <v>16</v>
      </c>
      <c r="B261" s="7" t="s">
        <v>54</v>
      </c>
      <c r="C261" s="7">
        <v>29.0</v>
      </c>
      <c r="D261" s="21">
        <v>0.93</v>
      </c>
      <c r="E261" s="74">
        <v>0.81</v>
      </c>
      <c r="F261" s="7">
        <v>0.006</v>
      </c>
      <c r="G261" s="23">
        <v>188.936416728</v>
      </c>
      <c r="H261" s="24">
        <f t="shared" si="38"/>
        <v>0.2484</v>
      </c>
      <c r="I261" s="25">
        <f t="shared" si="39"/>
        <v>0.09090909091</v>
      </c>
      <c r="J261" s="24">
        <f t="shared" si="40"/>
        <v>0.1078729932</v>
      </c>
      <c r="K261" s="24">
        <f t="shared" si="41"/>
        <v>0.7535640413</v>
      </c>
      <c r="L261" s="24">
        <f t="shared" si="5"/>
        <v>1.015550244</v>
      </c>
    </row>
    <row r="262">
      <c r="A262" s="20" t="s">
        <v>16</v>
      </c>
      <c r="B262" s="7" t="s">
        <v>54</v>
      </c>
      <c r="C262" s="7">
        <v>30.0</v>
      </c>
      <c r="D262" s="21">
        <v>0.93</v>
      </c>
      <c r="E262" s="74">
        <v>0.93</v>
      </c>
      <c r="F262" s="7">
        <v>0.007</v>
      </c>
      <c r="G262" s="23">
        <v>216.914830963999</v>
      </c>
      <c r="H262" s="24">
        <f t="shared" si="38"/>
        <v>0.2898</v>
      </c>
      <c r="I262" s="25">
        <f t="shared" si="39"/>
        <v>0.1818181818</v>
      </c>
      <c r="J262" s="24">
        <f t="shared" si="40"/>
        <v>0.1897368046</v>
      </c>
      <c r="K262" s="24">
        <f t="shared" si="41"/>
        <v>0.6477346639</v>
      </c>
      <c r="L262" s="24">
        <f t="shared" si="5"/>
        <v>1.006700373</v>
      </c>
    </row>
    <row r="263">
      <c r="A263" s="20" t="s">
        <v>16</v>
      </c>
      <c r="B263" s="7" t="s">
        <v>54</v>
      </c>
      <c r="C263" s="7">
        <v>31.0</v>
      </c>
      <c r="D263" s="21">
        <v>0.93</v>
      </c>
      <c r="E263" s="74">
        <v>0.76</v>
      </c>
      <c r="F263" s="7">
        <v>0.005</v>
      </c>
      <c r="G263" s="23">
        <v>176.291409115</v>
      </c>
      <c r="H263" s="24">
        <f t="shared" si="38"/>
        <v>0.207</v>
      </c>
      <c r="I263" s="25">
        <f t="shared" si="39"/>
        <v>0</v>
      </c>
      <c r="J263" s="24">
        <f t="shared" si="40"/>
        <v>0.07087416586</v>
      </c>
      <c r="K263" s="24">
        <f t="shared" si="41"/>
        <v>0.8504724729</v>
      </c>
      <c r="L263" s="24">
        <f t="shared" si="5"/>
        <v>1.070874166</v>
      </c>
    </row>
    <row r="264">
      <c r="A264" s="20" t="s">
        <v>16</v>
      </c>
      <c r="B264" s="7" t="s">
        <v>54</v>
      </c>
      <c r="C264" s="7">
        <v>32.0</v>
      </c>
      <c r="D264" s="21">
        <v>0.93</v>
      </c>
      <c r="E264" s="74">
        <v>1.48</v>
      </c>
      <c r="F264" s="7">
        <v>0.011</v>
      </c>
      <c r="G264" s="23">
        <v>341.668208870999</v>
      </c>
      <c r="H264" s="24">
        <f t="shared" si="38"/>
        <v>0.4554</v>
      </c>
      <c r="I264" s="25">
        <f t="shared" si="39"/>
        <v>0.5454545455</v>
      </c>
      <c r="J264" s="24">
        <f t="shared" si="40"/>
        <v>0.5547606018</v>
      </c>
      <c r="K264" s="24">
        <f t="shared" si="41"/>
        <v>0.3790346731</v>
      </c>
      <c r="L264" s="24">
        <f t="shared" si="5"/>
        <v>1.006021566</v>
      </c>
    </row>
    <row r="265">
      <c r="A265" s="20" t="s">
        <v>16</v>
      </c>
      <c r="B265" s="7" t="s">
        <v>54</v>
      </c>
      <c r="C265" s="7">
        <v>33.0</v>
      </c>
      <c r="D265" s="21">
        <v>0.93</v>
      </c>
      <c r="E265" s="74">
        <v>0.71</v>
      </c>
      <c r="F265" s="7">
        <v>0.005</v>
      </c>
      <c r="G265" s="23">
        <v>167.7645771</v>
      </c>
      <c r="H265" s="24">
        <f t="shared" si="38"/>
        <v>0.207</v>
      </c>
      <c r="I265" s="25">
        <f t="shared" si="39"/>
        <v>0</v>
      </c>
      <c r="J265" s="24">
        <f t="shared" si="40"/>
        <v>0.04592496888</v>
      </c>
      <c r="K265" s="24">
        <f t="shared" si="41"/>
        <v>0.8707594016</v>
      </c>
      <c r="L265" s="24">
        <f t="shared" si="5"/>
        <v>1.045924969</v>
      </c>
    </row>
    <row r="266">
      <c r="A266" s="58" t="s">
        <v>17</v>
      </c>
      <c r="B266" s="58" t="s">
        <v>20</v>
      </c>
      <c r="C266" s="7">
        <v>1.0</v>
      </c>
      <c r="D266" s="96">
        <v>0.81</v>
      </c>
      <c r="E266" s="22">
        <v>5.78</v>
      </c>
      <c r="F266" s="7">
        <v>0.017</v>
      </c>
      <c r="G266" s="23">
        <v>538.531043291</v>
      </c>
      <c r="H266" s="24">
        <f t="shared" ref="H266:H331" si="42">F266*472/5</f>
        <v>1.6048</v>
      </c>
      <c r="I266" s="25">
        <f t="shared" ref="I266:I298" si="43">(H266-MIN($H$266:$H$298))/(MAX($H$266:$H$298)-MIN($H$266:$H$298))</f>
        <v>0.5454545455</v>
      </c>
      <c r="J266" s="24">
        <f t="shared" ref="J266:J298" si="44">(G266-MIN($G$266:$G$298))/(MAX($G$266:$G$298)-MIN($G$266:$G$298))</f>
        <v>0.533493116</v>
      </c>
      <c r="K266" s="24">
        <f t="shared" ref="K266:K298" si="45">0.81*(1/(1+I266))*(1/(1+J266))*(1-0.236)</f>
        <v>0.2611201043</v>
      </c>
      <c r="L266" s="24">
        <f t="shared" si="5"/>
        <v>0.9922602515</v>
      </c>
    </row>
    <row r="267">
      <c r="A267" s="7" t="s">
        <v>17</v>
      </c>
      <c r="B267" s="7" t="s">
        <v>20</v>
      </c>
      <c r="C267" s="7">
        <v>2.0</v>
      </c>
      <c r="D267" s="96">
        <v>0.81</v>
      </c>
      <c r="E267" s="33">
        <v>4.61</v>
      </c>
      <c r="F267" s="7">
        <v>0.013</v>
      </c>
      <c r="G267" s="23">
        <v>426.970780502</v>
      </c>
      <c r="H267" s="24">
        <f t="shared" si="42"/>
        <v>1.2272</v>
      </c>
      <c r="I267" s="25">
        <f t="shared" si="43"/>
        <v>0.1818181818</v>
      </c>
      <c r="J267" s="24">
        <f t="shared" si="44"/>
        <v>0.1780318577</v>
      </c>
      <c r="K267" s="24">
        <f t="shared" si="45"/>
        <v>0.4444988841</v>
      </c>
      <c r="L267" s="24">
        <f t="shared" si="5"/>
        <v>0.9967961873</v>
      </c>
    </row>
    <row r="268">
      <c r="A268" s="7" t="s">
        <v>17</v>
      </c>
      <c r="B268" s="7" t="s">
        <v>20</v>
      </c>
      <c r="C268" s="7">
        <v>3.0</v>
      </c>
      <c r="D268" s="96">
        <v>0.81</v>
      </c>
      <c r="E268" s="22">
        <v>5.21</v>
      </c>
      <c r="F268" s="7">
        <v>0.015</v>
      </c>
      <c r="G268" s="23">
        <v>479.783669472999</v>
      </c>
      <c r="H268" s="24">
        <f t="shared" si="42"/>
        <v>1.416</v>
      </c>
      <c r="I268" s="25">
        <f t="shared" si="43"/>
        <v>0.3636363636</v>
      </c>
      <c r="J268" s="24">
        <f t="shared" si="44"/>
        <v>0.3463080476</v>
      </c>
      <c r="K268" s="24">
        <f t="shared" si="45"/>
        <v>0.3370818445</v>
      </c>
      <c r="L268" s="24">
        <f t="shared" si="5"/>
        <v>0.9872925682</v>
      </c>
    </row>
    <row r="269">
      <c r="A269" s="7" t="s">
        <v>17</v>
      </c>
      <c r="B269" s="7" t="s">
        <v>20</v>
      </c>
      <c r="C269" s="7">
        <v>4.0</v>
      </c>
      <c r="D269" s="96">
        <v>0.81</v>
      </c>
      <c r="E269" s="33">
        <v>4.73</v>
      </c>
      <c r="F269" s="7">
        <v>0.014</v>
      </c>
      <c r="G269" s="23">
        <v>437.677102892</v>
      </c>
      <c r="H269" s="24">
        <f t="shared" si="42"/>
        <v>1.3216</v>
      </c>
      <c r="I269" s="25">
        <f t="shared" si="43"/>
        <v>0.2727272727</v>
      </c>
      <c r="J269" s="24">
        <f t="shared" si="44"/>
        <v>0.2121451049</v>
      </c>
      <c r="K269" s="24">
        <f t="shared" si="45"/>
        <v>0.4011330216</v>
      </c>
      <c r="L269" s="24">
        <f t="shared" si="5"/>
        <v>0.9523997253</v>
      </c>
    </row>
    <row r="270">
      <c r="A270" s="7" t="s">
        <v>17</v>
      </c>
      <c r="B270" s="7" t="s">
        <v>20</v>
      </c>
      <c r="C270" s="7">
        <v>5.0</v>
      </c>
      <c r="D270" s="96">
        <v>0.81</v>
      </c>
      <c r="E270" s="22">
        <v>6.76</v>
      </c>
      <c r="F270" s="7">
        <v>0.019</v>
      </c>
      <c r="G270" s="23">
        <v>628.460642216</v>
      </c>
      <c r="H270" s="24">
        <f t="shared" si="42"/>
        <v>1.7936</v>
      </c>
      <c r="I270" s="25">
        <f t="shared" si="43"/>
        <v>0.7272727273</v>
      </c>
      <c r="J270" s="24">
        <f t="shared" si="44"/>
        <v>0.8200332119</v>
      </c>
      <c r="K270" s="24">
        <f t="shared" si="45"/>
        <v>0.1968512372</v>
      </c>
      <c r="L270" s="24">
        <f t="shared" si="5"/>
        <v>1.053703438</v>
      </c>
    </row>
    <row r="271">
      <c r="A271" s="7" t="s">
        <v>17</v>
      </c>
      <c r="B271" s="7" t="s">
        <v>20</v>
      </c>
      <c r="C271" s="7">
        <v>6.0</v>
      </c>
      <c r="D271" s="96">
        <v>0.81</v>
      </c>
      <c r="E271" s="33">
        <v>5.01</v>
      </c>
      <c r="F271" s="7">
        <v>0.014</v>
      </c>
      <c r="G271" s="23">
        <v>466.892013476</v>
      </c>
      <c r="H271" s="24">
        <f t="shared" si="42"/>
        <v>1.3216</v>
      </c>
      <c r="I271" s="25">
        <f t="shared" si="43"/>
        <v>0.2727272727</v>
      </c>
      <c r="J271" s="24">
        <f t="shared" si="44"/>
        <v>0.3052317347</v>
      </c>
      <c r="K271" s="24">
        <f t="shared" si="45"/>
        <v>0.3725249821</v>
      </c>
      <c r="L271" s="24">
        <f t="shared" si="5"/>
        <v>1.02553922</v>
      </c>
    </row>
    <row r="272">
      <c r="A272" s="7" t="s">
        <v>17</v>
      </c>
      <c r="B272" s="7" t="s">
        <v>20</v>
      </c>
      <c r="C272" s="7">
        <v>7.0</v>
      </c>
      <c r="D272" s="96">
        <v>0.81</v>
      </c>
      <c r="E272" s="22">
        <v>5.85</v>
      </c>
      <c r="F272" s="7">
        <v>0.017</v>
      </c>
      <c r="G272" s="23">
        <v>559.157962145</v>
      </c>
      <c r="H272" s="24">
        <f t="shared" si="42"/>
        <v>1.6048</v>
      </c>
      <c r="I272" s="25">
        <f t="shared" si="43"/>
        <v>0.5454545455</v>
      </c>
      <c r="J272" s="24">
        <f t="shared" si="44"/>
        <v>0.5992160746</v>
      </c>
      <c r="K272" s="24">
        <f t="shared" si="45"/>
        <v>0.2503888553</v>
      </c>
      <c r="L272" s="24">
        <f t="shared" si="5"/>
        <v>1.034786872</v>
      </c>
    </row>
    <row r="273">
      <c r="A273" s="7" t="s">
        <v>17</v>
      </c>
      <c r="B273" s="7" t="s">
        <v>20</v>
      </c>
      <c r="C273" s="7">
        <v>8.0</v>
      </c>
      <c r="D273" s="96">
        <v>0.81</v>
      </c>
      <c r="E273" s="33">
        <v>4.7</v>
      </c>
      <c r="F273" s="7">
        <v>0.013</v>
      </c>
      <c r="G273" s="23">
        <v>439.665899283999</v>
      </c>
      <c r="H273" s="24">
        <f t="shared" si="42"/>
        <v>1.2272</v>
      </c>
      <c r="I273" s="25">
        <f t="shared" si="43"/>
        <v>0.1818181818</v>
      </c>
      <c r="J273" s="24">
        <f t="shared" si="44"/>
        <v>0.2184819497</v>
      </c>
      <c r="K273" s="24">
        <f t="shared" si="45"/>
        <v>0.4297428011</v>
      </c>
      <c r="L273" s="24">
        <f t="shared" si="5"/>
        <v>1.031023188</v>
      </c>
    </row>
    <row r="274">
      <c r="A274" s="7" t="s">
        <v>17</v>
      </c>
      <c r="B274" s="7" t="s">
        <v>20</v>
      </c>
      <c r="C274" s="7">
        <v>9.0</v>
      </c>
      <c r="D274" s="96">
        <v>0.81</v>
      </c>
      <c r="E274" s="22">
        <v>4.92</v>
      </c>
      <c r="F274" s="7">
        <v>0.014</v>
      </c>
      <c r="G274" s="23">
        <v>459.196110683999</v>
      </c>
      <c r="H274" s="24">
        <f t="shared" si="42"/>
        <v>1.3216</v>
      </c>
      <c r="I274" s="25">
        <f t="shared" si="43"/>
        <v>0.2727272727</v>
      </c>
      <c r="J274" s="24">
        <f t="shared" si="44"/>
        <v>0.2807105008</v>
      </c>
      <c r="K274" s="24">
        <f t="shared" si="45"/>
        <v>0.3796575637</v>
      </c>
      <c r="L274" s="24">
        <f t="shared" si="5"/>
        <v>1.006272536</v>
      </c>
    </row>
    <row r="275">
      <c r="A275" s="7" t="s">
        <v>17</v>
      </c>
      <c r="B275" s="7" t="s">
        <v>20</v>
      </c>
      <c r="C275" s="7">
        <v>10.0</v>
      </c>
      <c r="D275" s="96">
        <v>0.81</v>
      </c>
      <c r="E275" s="33">
        <v>5.31</v>
      </c>
      <c r="F275" s="7">
        <v>0.015</v>
      </c>
      <c r="G275" s="23">
        <v>496.300461425</v>
      </c>
      <c r="H275" s="24">
        <f t="shared" si="42"/>
        <v>1.416</v>
      </c>
      <c r="I275" s="25">
        <f t="shared" si="43"/>
        <v>0.3636363636</v>
      </c>
      <c r="J275" s="24">
        <f t="shared" si="44"/>
        <v>0.398935027</v>
      </c>
      <c r="K275" s="24">
        <f t="shared" si="45"/>
        <v>0.324401056</v>
      </c>
      <c r="L275" s="24">
        <f t="shared" si="5"/>
        <v>1.025885686</v>
      </c>
    </row>
    <row r="276">
      <c r="A276" s="7" t="s">
        <v>17</v>
      </c>
      <c r="B276" s="7" t="s">
        <v>20</v>
      </c>
      <c r="C276" s="7">
        <v>11.0</v>
      </c>
      <c r="D276" s="96">
        <v>0.81</v>
      </c>
      <c r="E276" s="22">
        <v>3.99</v>
      </c>
      <c r="F276" s="7">
        <v>0.011</v>
      </c>
      <c r="G276" s="23">
        <v>371.096109603</v>
      </c>
      <c r="H276" s="24">
        <f t="shared" si="42"/>
        <v>1.0384</v>
      </c>
      <c r="I276" s="25">
        <f t="shared" si="43"/>
        <v>0</v>
      </c>
      <c r="J276" s="24">
        <f t="shared" si="44"/>
        <v>0</v>
      </c>
      <c r="K276" s="24">
        <f t="shared" si="45"/>
        <v>0.61884</v>
      </c>
      <c r="L276" s="24">
        <f t="shared" si="5"/>
        <v>1</v>
      </c>
    </row>
    <row r="277">
      <c r="A277" s="7" t="s">
        <v>17</v>
      </c>
      <c r="B277" s="7" t="s">
        <v>20</v>
      </c>
      <c r="C277" s="7">
        <v>12.0</v>
      </c>
      <c r="D277" s="96">
        <v>0.81</v>
      </c>
      <c r="E277" s="33">
        <v>6.07</v>
      </c>
      <c r="F277" s="7">
        <v>0.017</v>
      </c>
      <c r="G277" s="23">
        <v>555.838460754999</v>
      </c>
      <c r="H277" s="24">
        <f t="shared" si="42"/>
        <v>1.6048</v>
      </c>
      <c r="I277" s="25">
        <f t="shared" si="43"/>
        <v>0.5454545455</v>
      </c>
      <c r="J277" s="24">
        <f t="shared" si="44"/>
        <v>0.5886392427</v>
      </c>
      <c r="K277" s="24">
        <f t="shared" si="45"/>
        <v>0.2520558926</v>
      </c>
      <c r="L277" s="24">
        <f t="shared" si="5"/>
        <v>1.027943039</v>
      </c>
    </row>
    <row r="278">
      <c r="A278" s="7" t="s">
        <v>17</v>
      </c>
      <c r="B278" s="7" t="s">
        <v>20</v>
      </c>
      <c r="C278" s="7">
        <v>13.0</v>
      </c>
      <c r="D278" s="96">
        <v>0.81</v>
      </c>
      <c r="E278" s="22">
        <v>4.13</v>
      </c>
      <c r="F278" s="7">
        <v>0.012</v>
      </c>
      <c r="G278" s="23">
        <v>380.130887129999</v>
      </c>
      <c r="H278" s="24">
        <f t="shared" si="42"/>
        <v>1.1328</v>
      </c>
      <c r="I278" s="25">
        <f t="shared" si="43"/>
        <v>0.09090909091</v>
      </c>
      <c r="J278" s="24">
        <f t="shared" si="44"/>
        <v>0.02878725191</v>
      </c>
      <c r="K278" s="24">
        <f t="shared" si="45"/>
        <v>0.5513968014</v>
      </c>
      <c r="L278" s="24">
        <f t="shared" si="5"/>
        <v>0.9430549809</v>
      </c>
    </row>
    <row r="279">
      <c r="A279" s="7" t="s">
        <v>17</v>
      </c>
      <c r="B279" s="7" t="s">
        <v>20</v>
      </c>
      <c r="C279" s="7">
        <v>14.0</v>
      </c>
      <c r="D279" s="96">
        <v>0.81</v>
      </c>
      <c r="E279" s="33">
        <v>5.12</v>
      </c>
      <c r="F279" s="7">
        <v>0.015</v>
      </c>
      <c r="G279" s="23">
        <v>467.094371784999</v>
      </c>
      <c r="H279" s="24">
        <f t="shared" si="42"/>
        <v>1.416</v>
      </c>
      <c r="I279" s="25">
        <f t="shared" si="43"/>
        <v>0.3636363636</v>
      </c>
      <c r="J279" s="24">
        <f t="shared" si="44"/>
        <v>0.3058765031</v>
      </c>
      <c r="K279" s="24">
        <f t="shared" si="45"/>
        <v>0.3475183135</v>
      </c>
      <c r="L279" s="24">
        <f t="shared" si="5"/>
        <v>0.957642769</v>
      </c>
    </row>
    <row r="280">
      <c r="A280" s="7" t="s">
        <v>17</v>
      </c>
      <c r="B280" s="7" t="s">
        <v>20</v>
      </c>
      <c r="C280" s="7">
        <v>15.0</v>
      </c>
      <c r="D280" s="96">
        <v>0.81</v>
      </c>
      <c r="E280" s="22">
        <v>5.15</v>
      </c>
      <c r="F280" s="7">
        <v>0.015</v>
      </c>
      <c r="G280" s="23">
        <v>468.691965127</v>
      </c>
      <c r="H280" s="24">
        <f t="shared" si="42"/>
        <v>1.416</v>
      </c>
      <c r="I280" s="25">
        <f t="shared" si="43"/>
        <v>0.3636363636</v>
      </c>
      <c r="J280" s="24">
        <f t="shared" si="44"/>
        <v>0.3109668689</v>
      </c>
      <c r="K280" s="24">
        <f t="shared" si="45"/>
        <v>0.3461689313</v>
      </c>
      <c r="L280" s="24">
        <f t="shared" si="5"/>
        <v>0.9613757038</v>
      </c>
    </row>
    <row r="281">
      <c r="A281" s="7" t="s">
        <v>17</v>
      </c>
      <c r="B281" s="7" t="s">
        <v>20</v>
      </c>
      <c r="C281" s="7">
        <v>16.0</v>
      </c>
      <c r="D281" s="96">
        <v>0.81</v>
      </c>
      <c r="E281" s="33">
        <v>6.9</v>
      </c>
      <c r="F281" s="7">
        <v>0.02</v>
      </c>
      <c r="G281" s="23">
        <v>626.450520567001</v>
      </c>
      <c r="H281" s="24">
        <f t="shared" si="42"/>
        <v>1.888</v>
      </c>
      <c r="I281" s="25">
        <f t="shared" si="43"/>
        <v>0.8181818182</v>
      </c>
      <c r="J281" s="24">
        <f t="shared" si="44"/>
        <v>0.813628419</v>
      </c>
      <c r="K281" s="24">
        <f t="shared" si="45"/>
        <v>0.1876690928</v>
      </c>
      <c r="L281" s="24">
        <f t="shared" si="5"/>
        <v>0.9974956305</v>
      </c>
    </row>
    <row r="282">
      <c r="A282" s="7" t="s">
        <v>17</v>
      </c>
      <c r="B282" s="7" t="s">
        <v>20</v>
      </c>
      <c r="C282" s="7">
        <v>17.0</v>
      </c>
      <c r="D282" s="96">
        <v>0.81</v>
      </c>
      <c r="E282" s="22">
        <v>5.5</v>
      </c>
      <c r="F282" s="7">
        <v>0.016</v>
      </c>
      <c r="G282" s="23">
        <v>502.451640733001</v>
      </c>
      <c r="H282" s="24">
        <f t="shared" si="42"/>
        <v>1.5104</v>
      </c>
      <c r="I282" s="25">
        <f t="shared" si="43"/>
        <v>0.4545454545</v>
      </c>
      <c r="J282" s="24">
        <f t="shared" si="44"/>
        <v>0.4185343528</v>
      </c>
      <c r="K282" s="24">
        <f t="shared" si="45"/>
        <v>0.299924002</v>
      </c>
      <c r="L282" s="24">
        <f t="shared" si="5"/>
        <v>0.9752423675</v>
      </c>
    </row>
    <row r="283">
      <c r="A283" s="7" t="s">
        <v>17</v>
      </c>
      <c r="B283" s="7" t="s">
        <v>20</v>
      </c>
      <c r="C283" s="7">
        <v>18.0</v>
      </c>
      <c r="D283" s="96">
        <v>0.81</v>
      </c>
      <c r="E283" s="33">
        <v>5.67</v>
      </c>
      <c r="F283" s="7">
        <v>0.016</v>
      </c>
      <c r="G283" s="23">
        <v>517.737441539999</v>
      </c>
      <c r="H283" s="24">
        <f t="shared" si="42"/>
        <v>1.5104</v>
      </c>
      <c r="I283" s="25">
        <f t="shared" si="43"/>
        <v>0.4545454545</v>
      </c>
      <c r="J283" s="24">
        <f t="shared" si="44"/>
        <v>0.4672390605</v>
      </c>
      <c r="K283" s="24">
        <f t="shared" si="45"/>
        <v>0.2899680846</v>
      </c>
      <c r="L283" s="24">
        <f t="shared" si="5"/>
        <v>1.008726854</v>
      </c>
    </row>
    <row r="284">
      <c r="A284" s="7" t="s">
        <v>17</v>
      </c>
      <c r="B284" s="7" t="s">
        <v>20</v>
      </c>
      <c r="C284" s="7">
        <v>19.0</v>
      </c>
      <c r="D284" s="96">
        <v>0.81</v>
      </c>
      <c r="E284" s="22">
        <v>5.55</v>
      </c>
      <c r="F284" s="7">
        <v>0.016</v>
      </c>
      <c r="G284" s="23">
        <v>505.905537370001</v>
      </c>
      <c r="H284" s="24">
        <f t="shared" si="42"/>
        <v>1.5104</v>
      </c>
      <c r="I284" s="25">
        <f t="shared" si="43"/>
        <v>0.4545454545</v>
      </c>
      <c r="J284" s="24">
        <f t="shared" si="44"/>
        <v>0.4295394044</v>
      </c>
      <c r="K284" s="24">
        <f t="shared" si="45"/>
        <v>0.2976150911</v>
      </c>
      <c r="L284" s="24">
        <f t="shared" si="5"/>
        <v>0.9828083405</v>
      </c>
    </row>
    <row r="285">
      <c r="A285" s="7" t="s">
        <v>17</v>
      </c>
      <c r="B285" s="7" t="s">
        <v>20</v>
      </c>
      <c r="C285" s="7">
        <v>20.0</v>
      </c>
      <c r="D285" s="96">
        <v>0.81</v>
      </c>
      <c r="E285" s="33">
        <v>4.29</v>
      </c>
      <c r="F285" s="7">
        <v>0.012</v>
      </c>
      <c r="G285" s="23">
        <v>392.936195602</v>
      </c>
      <c r="H285" s="24">
        <f t="shared" si="42"/>
        <v>1.1328</v>
      </c>
      <c r="I285" s="25">
        <f t="shared" si="43"/>
        <v>0.09090909091</v>
      </c>
      <c r="J285" s="24">
        <f t="shared" si="44"/>
        <v>0.06958843819</v>
      </c>
      <c r="K285" s="24">
        <f t="shared" si="45"/>
        <v>0.5303628758</v>
      </c>
      <c r="L285" s="24">
        <f t="shared" si="5"/>
        <v>0.9804560683</v>
      </c>
    </row>
    <row r="286">
      <c r="A286" s="7" t="s">
        <v>17</v>
      </c>
      <c r="B286" s="7" t="s">
        <v>20</v>
      </c>
      <c r="C286" s="7">
        <v>21.0</v>
      </c>
      <c r="D286" s="96">
        <v>0.81</v>
      </c>
      <c r="E286" s="22">
        <v>7.53</v>
      </c>
      <c r="F286" s="7">
        <v>0.022</v>
      </c>
      <c r="G286" s="23">
        <v>684.942584225</v>
      </c>
      <c r="H286" s="24">
        <f t="shared" si="42"/>
        <v>2.0768</v>
      </c>
      <c r="I286" s="25">
        <f t="shared" si="43"/>
        <v>1</v>
      </c>
      <c r="J286" s="24">
        <f t="shared" si="44"/>
        <v>1</v>
      </c>
      <c r="K286" s="24">
        <f t="shared" si="45"/>
        <v>0.15471</v>
      </c>
      <c r="L286" s="24">
        <f t="shared" si="5"/>
        <v>1</v>
      </c>
    </row>
    <row r="287">
      <c r="A287" s="7" t="s">
        <v>17</v>
      </c>
      <c r="B287" s="7" t="s">
        <v>20</v>
      </c>
      <c r="C287" s="7">
        <v>22.0</v>
      </c>
      <c r="D287" s="96">
        <v>0.81</v>
      </c>
      <c r="E287" s="33">
        <v>5.16</v>
      </c>
      <c r="F287" s="7">
        <v>0.015</v>
      </c>
      <c r="G287" s="23">
        <v>467.895381071999</v>
      </c>
      <c r="H287" s="24">
        <f t="shared" si="42"/>
        <v>1.416</v>
      </c>
      <c r="I287" s="25">
        <f t="shared" si="43"/>
        <v>0.3636363636</v>
      </c>
      <c r="J287" s="24">
        <f t="shared" si="44"/>
        <v>0.308428736</v>
      </c>
      <c r="K287" s="24">
        <f t="shared" si="45"/>
        <v>0.3468404411</v>
      </c>
      <c r="L287" s="24">
        <f t="shared" si="5"/>
        <v>0.9595144064</v>
      </c>
    </row>
    <row r="288">
      <c r="A288" s="7" t="s">
        <v>17</v>
      </c>
      <c r="B288" s="7" t="s">
        <v>20</v>
      </c>
      <c r="C288" s="7">
        <v>23.0</v>
      </c>
      <c r="D288" s="96">
        <v>0.81</v>
      </c>
      <c r="E288" s="22">
        <v>5.69</v>
      </c>
      <c r="F288" s="7">
        <v>0.016</v>
      </c>
      <c r="G288" s="23">
        <v>520.657484269</v>
      </c>
      <c r="H288" s="24">
        <f t="shared" si="42"/>
        <v>1.5104</v>
      </c>
      <c r="I288" s="25">
        <f t="shared" si="43"/>
        <v>0.4545454545</v>
      </c>
      <c r="J288" s="24">
        <f t="shared" si="44"/>
        <v>0.4765431087</v>
      </c>
      <c r="K288" s="24">
        <f t="shared" si="45"/>
        <v>0.2881409269</v>
      </c>
      <c r="L288" s="24">
        <f t="shared" si="5"/>
        <v>1.015123387</v>
      </c>
    </row>
    <row r="289">
      <c r="A289" s="7" t="s">
        <v>17</v>
      </c>
      <c r="B289" s="7" t="s">
        <v>20</v>
      </c>
      <c r="C289" s="7">
        <v>24.0</v>
      </c>
      <c r="D289" s="96">
        <v>0.81</v>
      </c>
      <c r="E289" s="33">
        <v>5.99</v>
      </c>
      <c r="F289" s="7">
        <v>0.017</v>
      </c>
      <c r="G289" s="23">
        <v>545.738734737999</v>
      </c>
      <c r="H289" s="24">
        <f t="shared" si="42"/>
        <v>1.6048</v>
      </c>
      <c r="I289" s="25">
        <f t="shared" si="43"/>
        <v>0.5454545455</v>
      </c>
      <c r="J289" s="24">
        <f t="shared" si="44"/>
        <v>0.556458776</v>
      </c>
      <c r="K289" s="24">
        <f t="shared" si="45"/>
        <v>0.2572672585</v>
      </c>
      <c r="L289" s="24">
        <f t="shared" si="5"/>
        <v>1.007120385</v>
      </c>
    </row>
    <row r="290">
      <c r="A290" s="7" t="s">
        <v>17</v>
      </c>
      <c r="B290" s="7" t="s">
        <v>20</v>
      </c>
      <c r="C290" s="7">
        <v>25.0</v>
      </c>
      <c r="D290" s="96">
        <v>0.81</v>
      </c>
      <c r="E290" s="22">
        <v>6.41</v>
      </c>
      <c r="F290" s="7">
        <v>0.018</v>
      </c>
      <c r="G290" s="23">
        <v>581.053598136999</v>
      </c>
      <c r="H290" s="24">
        <f t="shared" si="42"/>
        <v>1.6992</v>
      </c>
      <c r="I290" s="25">
        <f t="shared" si="43"/>
        <v>0.6363636364</v>
      </c>
      <c r="J290" s="24">
        <f t="shared" si="44"/>
        <v>0.6689815101</v>
      </c>
      <c r="K290" s="24">
        <f t="shared" si="45"/>
        <v>0.2265932832</v>
      </c>
      <c r="L290" s="24">
        <f t="shared" si="5"/>
        <v>1.019933145</v>
      </c>
    </row>
    <row r="291">
      <c r="A291" s="7" t="s">
        <v>17</v>
      </c>
      <c r="B291" s="7" t="s">
        <v>20</v>
      </c>
      <c r="C291" s="7">
        <v>26.0</v>
      </c>
      <c r="D291" s="96">
        <v>0.81</v>
      </c>
      <c r="E291" s="33">
        <v>6.02</v>
      </c>
      <c r="F291" s="7">
        <v>0.017</v>
      </c>
      <c r="G291" s="23">
        <v>542.561227281999</v>
      </c>
      <c r="H291" s="24">
        <f t="shared" si="42"/>
        <v>1.6048</v>
      </c>
      <c r="I291" s="25">
        <f t="shared" si="43"/>
        <v>0.5454545455</v>
      </c>
      <c r="J291" s="24">
        <f t="shared" si="44"/>
        <v>0.5463343754</v>
      </c>
      <c r="K291" s="24">
        <f t="shared" si="45"/>
        <v>0.2589516787</v>
      </c>
      <c r="L291" s="24">
        <f t="shared" si="5"/>
        <v>1.000569302</v>
      </c>
    </row>
    <row r="292">
      <c r="A292" s="7" t="s">
        <v>17</v>
      </c>
      <c r="B292" s="7" t="s">
        <v>20</v>
      </c>
      <c r="C292" s="7">
        <v>27.0</v>
      </c>
      <c r="D292" s="96">
        <v>0.81</v>
      </c>
      <c r="E292" s="22">
        <v>6.65</v>
      </c>
      <c r="F292" s="7">
        <v>0.019</v>
      </c>
      <c r="G292" s="23">
        <v>602.475395871</v>
      </c>
      <c r="H292" s="24">
        <f t="shared" si="42"/>
        <v>1.7936</v>
      </c>
      <c r="I292" s="25">
        <f t="shared" si="43"/>
        <v>0.7272727273</v>
      </c>
      <c r="J292" s="24">
        <f t="shared" si="44"/>
        <v>0.7372371684</v>
      </c>
      <c r="K292" s="24">
        <f t="shared" si="45"/>
        <v>0.2062330901</v>
      </c>
      <c r="L292" s="24">
        <f t="shared" si="5"/>
        <v>1.005768887</v>
      </c>
    </row>
    <row r="293">
      <c r="A293" s="7" t="s">
        <v>17</v>
      </c>
      <c r="B293" s="7" t="s">
        <v>20</v>
      </c>
      <c r="C293" s="7">
        <v>28.0</v>
      </c>
      <c r="D293" s="96">
        <v>0.81</v>
      </c>
      <c r="E293" s="33">
        <v>4.63</v>
      </c>
      <c r="F293" s="7">
        <v>0.013</v>
      </c>
      <c r="G293" s="23">
        <v>424.560940933</v>
      </c>
      <c r="H293" s="24">
        <f t="shared" si="42"/>
        <v>1.2272</v>
      </c>
      <c r="I293" s="25">
        <f t="shared" si="43"/>
        <v>0.1818181818</v>
      </c>
      <c r="J293" s="24">
        <f t="shared" si="44"/>
        <v>0.1703534551</v>
      </c>
      <c r="K293" s="24">
        <f t="shared" si="45"/>
        <v>0.4474151325</v>
      </c>
      <c r="L293" s="24">
        <f t="shared" si="5"/>
        <v>0.9902990774</v>
      </c>
    </row>
    <row r="294">
      <c r="A294" s="7" t="s">
        <v>17</v>
      </c>
      <c r="B294" s="7" t="s">
        <v>20</v>
      </c>
      <c r="C294" s="7">
        <v>29.0</v>
      </c>
      <c r="D294" s="96">
        <v>0.81</v>
      </c>
      <c r="E294" s="22">
        <v>4.43</v>
      </c>
      <c r="F294" s="7">
        <v>0.013</v>
      </c>
      <c r="G294" s="23">
        <v>404.540852792999</v>
      </c>
      <c r="H294" s="24">
        <f t="shared" si="42"/>
        <v>1.2272</v>
      </c>
      <c r="I294" s="25">
        <f t="shared" si="43"/>
        <v>0.1818181818</v>
      </c>
      <c r="J294" s="24">
        <f t="shared" si="44"/>
        <v>0.1065640238</v>
      </c>
      <c r="K294" s="24">
        <f t="shared" si="45"/>
        <v>0.4732070037</v>
      </c>
      <c r="L294" s="24">
        <f t="shared" si="5"/>
        <v>0.9363234048</v>
      </c>
    </row>
    <row r="295">
      <c r="A295" s="7" t="s">
        <v>17</v>
      </c>
      <c r="B295" s="7" t="s">
        <v>20</v>
      </c>
      <c r="C295" s="7">
        <v>30.0</v>
      </c>
      <c r="D295" s="96">
        <v>0.81</v>
      </c>
      <c r="E295" s="33">
        <v>5.07</v>
      </c>
      <c r="F295" s="7">
        <v>0.015</v>
      </c>
      <c r="G295" s="23">
        <v>461.307216438001</v>
      </c>
      <c r="H295" s="24">
        <f t="shared" si="42"/>
        <v>1.416</v>
      </c>
      <c r="I295" s="25">
        <f t="shared" si="43"/>
        <v>0.3636363636</v>
      </c>
      <c r="J295" s="24">
        <f t="shared" si="44"/>
        <v>0.2874370564</v>
      </c>
      <c r="K295" s="24">
        <f t="shared" si="45"/>
        <v>0.3524956795</v>
      </c>
      <c r="L295" s="24">
        <f t="shared" si="5"/>
        <v>0.944120508</v>
      </c>
    </row>
    <row r="296">
      <c r="A296" s="7" t="s">
        <v>17</v>
      </c>
      <c r="B296" s="7" t="s">
        <v>20</v>
      </c>
      <c r="C296" s="7">
        <v>31.0</v>
      </c>
      <c r="D296" s="96">
        <v>0.81</v>
      </c>
      <c r="E296" s="22">
        <v>4.63</v>
      </c>
      <c r="F296" s="7">
        <v>0.013</v>
      </c>
      <c r="G296" s="23">
        <v>425.083755864998</v>
      </c>
      <c r="H296" s="24">
        <f t="shared" si="42"/>
        <v>1.2272</v>
      </c>
      <c r="I296" s="25">
        <f t="shared" si="43"/>
        <v>0.1818181818</v>
      </c>
      <c r="J296" s="24">
        <f t="shared" si="44"/>
        <v>0.1720192853</v>
      </c>
      <c r="K296" s="24">
        <f t="shared" si="45"/>
        <v>0.4467792064</v>
      </c>
      <c r="L296" s="24">
        <f t="shared" si="5"/>
        <v>0.991708626</v>
      </c>
    </row>
    <row r="297">
      <c r="A297" s="7" t="s">
        <v>17</v>
      </c>
      <c r="B297" s="7" t="s">
        <v>20</v>
      </c>
      <c r="C297" s="7">
        <v>32.0</v>
      </c>
      <c r="D297" s="96">
        <v>0.81</v>
      </c>
      <c r="E297" s="33">
        <v>6.16</v>
      </c>
      <c r="F297" s="7">
        <v>0.018</v>
      </c>
      <c r="G297" s="23">
        <v>560.891798678996</v>
      </c>
      <c r="H297" s="24">
        <f t="shared" si="42"/>
        <v>1.6992</v>
      </c>
      <c r="I297" s="25">
        <f t="shared" si="43"/>
        <v>0.6363636364</v>
      </c>
      <c r="J297" s="24">
        <f t="shared" si="44"/>
        <v>0.6047405481</v>
      </c>
      <c r="K297" s="24">
        <f t="shared" si="45"/>
        <v>0.2356642639</v>
      </c>
      <c r="L297" s="24">
        <f t="shared" si="5"/>
        <v>0.9806747794</v>
      </c>
    </row>
    <row r="298">
      <c r="A298" s="7" t="s">
        <v>17</v>
      </c>
      <c r="B298" s="7" t="s">
        <v>20</v>
      </c>
      <c r="C298" s="7">
        <v>33.0</v>
      </c>
      <c r="D298" s="96">
        <v>0.81</v>
      </c>
      <c r="E298" s="22">
        <v>4.18</v>
      </c>
      <c r="F298" s="7">
        <v>0.012</v>
      </c>
      <c r="G298" s="23">
        <v>388.179959043998</v>
      </c>
      <c r="H298" s="24">
        <f t="shared" si="42"/>
        <v>1.1328</v>
      </c>
      <c r="I298" s="25">
        <f t="shared" si="43"/>
        <v>0.09090909091</v>
      </c>
      <c r="J298" s="24">
        <f t="shared" si="44"/>
        <v>0.05443377837</v>
      </c>
      <c r="K298" s="24">
        <f t="shared" si="45"/>
        <v>0.5379854208</v>
      </c>
      <c r="L298" s="24">
        <f t="shared" si="5"/>
        <v>0.9665642968</v>
      </c>
    </row>
    <row r="299">
      <c r="A299" s="58" t="s">
        <v>17</v>
      </c>
      <c r="B299" s="58" t="s">
        <v>39</v>
      </c>
      <c r="C299" s="7">
        <v>1.0</v>
      </c>
      <c r="D299" s="96">
        <v>0.86</v>
      </c>
      <c r="E299" s="74">
        <v>7.28</v>
      </c>
      <c r="F299" s="7">
        <v>0.021</v>
      </c>
      <c r="G299" s="23">
        <v>702.720023478</v>
      </c>
      <c r="H299" s="24">
        <f t="shared" si="42"/>
        <v>1.9824</v>
      </c>
      <c r="I299" s="25">
        <f t="shared" ref="I299:I331" si="46">(H299-MIN($H$299:$H$331))/(MAX($H$299:$H$331)-MIN($H$299:$H$331))</f>
        <v>0.6</v>
      </c>
      <c r="J299" s="24">
        <f t="shared" ref="J299:J331" si="47">(G299-MIN($G$299:$G$331))/(MAX($G$299:$G$331)-MIN($G$299:$G$331))</f>
        <v>0.7691794593</v>
      </c>
      <c r="K299" s="24">
        <f t="shared" ref="K299:K331" si="48">0.86*(1/(1+I299))*(1/(1+J299))*(1-0.236)</f>
        <v>0.2321132533</v>
      </c>
      <c r="L299" s="24">
        <f t="shared" si="5"/>
        <v>1.105737162</v>
      </c>
    </row>
    <row r="300">
      <c r="A300" s="7" t="s">
        <v>17</v>
      </c>
      <c r="B300" s="7" t="s">
        <v>39</v>
      </c>
      <c r="C300" s="7">
        <v>2.0</v>
      </c>
      <c r="D300" s="96">
        <v>0.86</v>
      </c>
      <c r="E300" s="74">
        <v>6.5</v>
      </c>
      <c r="F300" s="7">
        <v>0.019</v>
      </c>
      <c r="G300" s="23">
        <v>587.5711531</v>
      </c>
      <c r="H300" s="24">
        <f t="shared" si="42"/>
        <v>1.7936</v>
      </c>
      <c r="I300" s="25">
        <f t="shared" si="46"/>
        <v>0.4</v>
      </c>
      <c r="J300" s="24">
        <f t="shared" si="47"/>
        <v>0.3937338012</v>
      </c>
      <c r="K300" s="24">
        <f t="shared" si="48"/>
        <v>0.3367316523</v>
      </c>
      <c r="L300" s="24">
        <f t="shared" si="5"/>
        <v>0.9955241437</v>
      </c>
    </row>
    <row r="301">
      <c r="A301" s="7" t="s">
        <v>17</v>
      </c>
      <c r="B301" s="7" t="s">
        <v>39</v>
      </c>
      <c r="C301" s="7">
        <v>3.0</v>
      </c>
      <c r="D301" s="96">
        <v>0.86</v>
      </c>
      <c r="E301" s="74">
        <v>7.01</v>
      </c>
      <c r="F301" s="7">
        <v>0.02</v>
      </c>
      <c r="G301" s="23">
        <v>640.317453893999</v>
      </c>
      <c r="H301" s="24">
        <f t="shared" si="42"/>
        <v>1.888</v>
      </c>
      <c r="I301" s="25">
        <f t="shared" si="46"/>
        <v>0.5</v>
      </c>
      <c r="J301" s="24">
        <f t="shared" si="47"/>
        <v>0.5657143821</v>
      </c>
      <c r="K301" s="24">
        <f t="shared" si="48"/>
        <v>0.27976154</v>
      </c>
      <c r="L301" s="24">
        <f t="shared" si="5"/>
        <v>1.043809588</v>
      </c>
    </row>
    <row r="302">
      <c r="A302" s="7" t="s">
        <v>17</v>
      </c>
      <c r="B302" s="7" t="s">
        <v>39</v>
      </c>
      <c r="C302" s="7">
        <v>4.0</v>
      </c>
      <c r="D302" s="96">
        <v>0.86</v>
      </c>
      <c r="E302" s="74">
        <v>7.42</v>
      </c>
      <c r="F302" s="7">
        <v>0.021</v>
      </c>
      <c r="G302" s="23">
        <v>670.537872302999</v>
      </c>
      <c r="H302" s="24">
        <f t="shared" si="42"/>
        <v>1.9824</v>
      </c>
      <c r="I302" s="25">
        <f t="shared" si="46"/>
        <v>0.6</v>
      </c>
      <c r="J302" s="24">
        <f t="shared" si="47"/>
        <v>0.6642487823</v>
      </c>
      <c r="K302" s="24">
        <f t="shared" si="48"/>
        <v>0.2467479648</v>
      </c>
      <c r="L302" s="24">
        <f t="shared" si="5"/>
        <v>1.040155489</v>
      </c>
    </row>
    <row r="303">
      <c r="A303" s="7" t="s">
        <v>17</v>
      </c>
      <c r="B303" s="7" t="s">
        <v>39</v>
      </c>
      <c r="C303" s="7">
        <v>5.0</v>
      </c>
      <c r="D303" s="96">
        <v>0.86</v>
      </c>
      <c r="E303" s="74">
        <v>6.67</v>
      </c>
      <c r="F303" s="7">
        <v>0.019</v>
      </c>
      <c r="G303" s="23">
        <v>606.49402129</v>
      </c>
      <c r="H303" s="24">
        <f t="shared" si="42"/>
        <v>1.7936</v>
      </c>
      <c r="I303" s="25">
        <f t="shared" si="46"/>
        <v>0.4</v>
      </c>
      <c r="J303" s="24">
        <f t="shared" si="47"/>
        <v>0.4554322675</v>
      </c>
      <c r="K303" s="24">
        <f t="shared" si="48"/>
        <v>0.3224569746</v>
      </c>
      <c r="L303" s="24">
        <f t="shared" si="5"/>
        <v>1.039594477</v>
      </c>
    </row>
    <row r="304">
      <c r="A304" s="7" t="s">
        <v>17</v>
      </c>
      <c r="B304" s="7" t="s">
        <v>39</v>
      </c>
      <c r="C304" s="7">
        <v>6.0</v>
      </c>
      <c r="D304" s="96">
        <v>0.86</v>
      </c>
      <c r="E304" s="74">
        <v>6.77</v>
      </c>
      <c r="F304" s="7">
        <v>0.019</v>
      </c>
      <c r="G304" s="23">
        <v>638.395085338</v>
      </c>
      <c r="H304" s="24">
        <f t="shared" si="42"/>
        <v>1.7936</v>
      </c>
      <c r="I304" s="25">
        <f t="shared" si="46"/>
        <v>0.4</v>
      </c>
      <c r="J304" s="24">
        <f t="shared" si="47"/>
        <v>0.5594464532</v>
      </c>
      <c r="K304" s="24">
        <f t="shared" si="48"/>
        <v>0.300949279</v>
      </c>
      <c r="L304" s="24">
        <f t="shared" si="5"/>
        <v>1.113890324</v>
      </c>
    </row>
    <row r="305">
      <c r="A305" s="7" t="s">
        <v>17</v>
      </c>
      <c r="B305" s="7" t="s">
        <v>39</v>
      </c>
      <c r="C305" s="7">
        <v>7.0</v>
      </c>
      <c r="D305" s="96">
        <v>0.86</v>
      </c>
      <c r="E305" s="74">
        <v>6.46</v>
      </c>
      <c r="F305" s="7">
        <v>0.018</v>
      </c>
      <c r="G305" s="23">
        <v>607.764389767</v>
      </c>
      <c r="H305" s="24">
        <f t="shared" si="42"/>
        <v>1.6992</v>
      </c>
      <c r="I305" s="25">
        <f t="shared" si="46"/>
        <v>0.3</v>
      </c>
      <c r="J305" s="24">
        <f t="shared" si="47"/>
        <v>0.4595743345</v>
      </c>
      <c r="K305" s="24">
        <f t="shared" si="48"/>
        <v>0.3462758783</v>
      </c>
      <c r="L305" s="24">
        <f t="shared" si="5"/>
        <v>1.122749488</v>
      </c>
    </row>
    <row r="306">
      <c r="A306" s="7" t="s">
        <v>17</v>
      </c>
      <c r="B306" s="7" t="s">
        <v>39</v>
      </c>
      <c r="C306" s="7">
        <v>8.0</v>
      </c>
      <c r="D306" s="96">
        <v>0.86</v>
      </c>
      <c r="E306" s="74">
        <v>8.04</v>
      </c>
      <c r="F306" s="7">
        <v>0.023</v>
      </c>
      <c r="G306" s="23">
        <v>752.215362909999</v>
      </c>
      <c r="H306" s="24">
        <f t="shared" si="42"/>
        <v>2.1712</v>
      </c>
      <c r="I306" s="25">
        <f t="shared" si="46"/>
        <v>0.8</v>
      </c>
      <c r="J306" s="24">
        <f t="shared" si="47"/>
        <v>0.9305602025</v>
      </c>
      <c r="K306" s="24">
        <f t="shared" si="48"/>
        <v>0.1890758039</v>
      </c>
      <c r="L306" s="24">
        <f t="shared" si="5"/>
        <v>1.072533446</v>
      </c>
    </row>
    <row r="307">
      <c r="A307" s="7" t="s">
        <v>17</v>
      </c>
      <c r="B307" s="7" t="s">
        <v>39</v>
      </c>
      <c r="C307" s="7">
        <v>9.0</v>
      </c>
      <c r="D307" s="96">
        <v>0.86</v>
      </c>
      <c r="E307" s="74">
        <v>6.0</v>
      </c>
      <c r="F307" s="7">
        <v>0.017</v>
      </c>
      <c r="G307" s="23">
        <v>549.236057406</v>
      </c>
      <c r="H307" s="24">
        <f t="shared" si="42"/>
        <v>1.6048</v>
      </c>
      <c r="I307" s="25">
        <f t="shared" si="46"/>
        <v>0.2</v>
      </c>
      <c r="J307" s="24">
        <f t="shared" si="47"/>
        <v>0.2687413008</v>
      </c>
      <c r="K307" s="24">
        <f t="shared" si="48"/>
        <v>0.4315563251</v>
      </c>
      <c r="L307" s="24">
        <f t="shared" si="5"/>
        <v>1.057284417</v>
      </c>
    </row>
    <row r="308">
      <c r="A308" s="7" t="s">
        <v>17</v>
      </c>
      <c r="B308" s="7" t="s">
        <v>39</v>
      </c>
      <c r="C308" s="7">
        <v>10.0</v>
      </c>
      <c r="D308" s="96">
        <v>0.86</v>
      </c>
      <c r="E308" s="74">
        <v>6.59</v>
      </c>
      <c r="F308" s="7">
        <v>0.019</v>
      </c>
      <c r="G308" s="23">
        <v>593.0670139</v>
      </c>
      <c r="H308" s="24">
        <f t="shared" si="42"/>
        <v>1.7936</v>
      </c>
      <c r="I308" s="25">
        <f t="shared" si="46"/>
        <v>0.4</v>
      </c>
      <c r="J308" s="24">
        <f t="shared" si="47"/>
        <v>0.4116531874</v>
      </c>
      <c r="K308" s="24">
        <f t="shared" si="48"/>
        <v>0.3324572139</v>
      </c>
      <c r="L308" s="24">
        <f t="shared" si="5"/>
        <v>1.008323705</v>
      </c>
    </row>
    <row r="309">
      <c r="A309" s="7" t="s">
        <v>17</v>
      </c>
      <c r="B309" s="7" t="s">
        <v>39</v>
      </c>
      <c r="C309" s="7">
        <v>11.0</v>
      </c>
      <c r="D309" s="96">
        <v>0.86</v>
      </c>
      <c r="E309" s="74">
        <v>5.53</v>
      </c>
      <c r="F309" s="7">
        <v>0.016</v>
      </c>
      <c r="G309" s="23">
        <v>501.984314438999</v>
      </c>
      <c r="H309" s="24">
        <f t="shared" si="42"/>
        <v>1.5104</v>
      </c>
      <c r="I309" s="25">
        <f t="shared" si="46"/>
        <v>0.1</v>
      </c>
      <c r="J309" s="24">
        <f t="shared" si="47"/>
        <v>0.1146758577</v>
      </c>
      <c r="K309" s="24">
        <f t="shared" si="48"/>
        <v>0.5358590004</v>
      </c>
      <c r="L309" s="24">
        <f t="shared" si="5"/>
        <v>1.013341689</v>
      </c>
    </row>
    <row r="310">
      <c r="A310" s="7" t="s">
        <v>17</v>
      </c>
      <c r="B310" s="7" t="s">
        <v>39</v>
      </c>
      <c r="C310" s="7">
        <v>12.0</v>
      </c>
      <c r="D310" s="96">
        <v>0.86</v>
      </c>
      <c r="E310" s="74">
        <v>5.52</v>
      </c>
      <c r="F310" s="7">
        <v>0.016</v>
      </c>
      <c r="G310" s="23">
        <v>510.826314700999</v>
      </c>
      <c r="H310" s="24">
        <f t="shared" si="42"/>
        <v>1.5104</v>
      </c>
      <c r="I310" s="25">
        <f t="shared" si="46"/>
        <v>0.1</v>
      </c>
      <c r="J310" s="24">
        <f t="shared" si="47"/>
        <v>0.143505412</v>
      </c>
      <c r="K310" s="24">
        <f t="shared" si="48"/>
        <v>0.5223491596</v>
      </c>
      <c r="L310" s="24">
        <f t="shared" si="5"/>
        <v>1.039550375</v>
      </c>
    </row>
    <row r="311">
      <c r="A311" s="7" t="s">
        <v>17</v>
      </c>
      <c r="B311" s="7" t="s">
        <v>39</v>
      </c>
      <c r="C311" s="7">
        <v>13.0</v>
      </c>
      <c r="D311" s="96">
        <v>0.86</v>
      </c>
      <c r="E311" s="74">
        <v>5.15</v>
      </c>
      <c r="F311" s="7">
        <v>0.015</v>
      </c>
      <c r="G311" s="23">
        <v>466.813324462998</v>
      </c>
      <c r="H311" s="24">
        <f t="shared" si="42"/>
        <v>1.416</v>
      </c>
      <c r="I311" s="25">
        <f t="shared" si="46"/>
        <v>0</v>
      </c>
      <c r="J311" s="24">
        <f t="shared" si="47"/>
        <v>0</v>
      </c>
      <c r="K311" s="24">
        <f t="shared" si="48"/>
        <v>0.65704</v>
      </c>
      <c r="L311" s="24">
        <f t="shared" si="5"/>
        <v>1</v>
      </c>
    </row>
    <row r="312">
      <c r="A312" s="7" t="s">
        <v>17</v>
      </c>
      <c r="B312" s="7" t="s">
        <v>39</v>
      </c>
      <c r="C312" s="7">
        <v>14.0</v>
      </c>
      <c r="D312" s="96">
        <v>0.86</v>
      </c>
      <c r="E312" s="74">
        <v>6.21</v>
      </c>
      <c r="F312" s="7">
        <v>0.018</v>
      </c>
      <c r="G312" s="23">
        <v>556.924056123998</v>
      </c>
      <c r="H312" s="24">
        <f t="shared" si="42"/>
        <v>1.6992</v>
      </c>
      <c r="I312" s="25">
        <f t="shared" si="46"/>
        <v>0.3</v>
      </c>
      <c r="J312" s="24">
        <f t="shared" si="47"/>
        <v>0.2938082053</v>
      </c>
      <c r="K312" s="24">
        <f t="shared" si="48"/>
        <v>0.3906416597</v>
      </c>
      <c r="L312" s="24">
        <f t="shared" si="5"/>
        <v>0.995237081</v>
      </c>
    </row>
    <row r="313">
      <c r="A313" s="7" t="s">
        <v>17</v>
      </c>
      <c r="B313" s="7" t="s">
        <v>39</v>
      </c>
      <c r="C313" s="7">
        <v>15.0</v>
      </c>
      <c r="D313" s="96">
        <v>0.86</v>
      </c>
      <c r="E313" s="74">
        <v>5.65</v>
      </c>
      <c r="F313" s="7">
        <v>0.016</v>
      </c>
      <c r="G313" s="23">
        <v>508.277405499</v>
      </c>
      <c r="H313" s="24">
        <f t="shared" si="42"/>
        <v>1.5104</v>
      </c>
      <c r="I313" s="25">
        <f t="shared" si="46"/>
        <v>0.1</v>
      </c>
      <c r="J313" s="24">
        <f t="shared" si="47"/>
        <v>0.1351946323</v>
      </c>
      <c r="K313" s="24">
        <f t="shared" si="48"/>
        <v>0.5261732869</v>
      </c>
      <c r="L313" s="24">
        <f t="shared" si="5"/>
        <v>1.03199512</v>
      </c>
    </row>
    <row r="314">
      <c r="A314" s="7" t="s">
        <v>17</v>
      </c>
      <c r="B314" s="7" t="s">
        <v>39</v>
      </c>
      <c r="C314" s="7">
        <v>16.0</v>
      </c>
      <c r="D314" s="96">
        <v>0.86</v>
      </c>
      <c r="E314" s="74">
        <v>8.66</v>
      </c>
      <c r="F314" s="7">
        <v>0.025</v>
      </c>
      <c r="G314" s="23">
        <v>773.512490917</v>
      </c>
      <c r="H314" s="24">
        <f t="shared" si="42"/>
        <v>2.36</v>
      </c>
      <c r="I314" s="25">
        <f t="shared" si="46"/>
        <v>1</v>
      </c>
      <c r="J314" s="24">
        <f t="shared" si="47"/>
        <v>1</v>
      </c>
      <c r="K314" s="24">
        <f t="shared" si="48"/>
        <v>0.16426</v>
      </c>
      <c r="L314" s="24">
        <f t="shared" si="5"/>
        <v>1</v>
      </c>
    </row>
    <row r="315">
      <c r="A315" s="7" t="s">
        <v>17</v>
      </c>
      <c r="B315" s="7" t="s">
        <v>39</v>
      </c>
      <c r="C315" s="7">
        <v>17.0</v>
      </c>
      <c r="D315" s="96">
        <v>0.86</v>
      </c>
      <c r="E315" s="74">
        <v>8.52</v>
      </c>
      <c r="F315" s="7">
        <v>0.024</v>
      </c>
      <c r="G315" s="23">
        <v>761.284212152</v>
      </c>
      <c r="H315" s="24">
        <f t="shared" si="42"/>
        <v>2.2656</v>
      </c>
      <c r="I315" s="25">
        <f t="shared" si="46"/>
        <v>0.9</v>
      </c>
      <c r="J315" s="24">
        <f t="shared" si="47"/>
        <v>0.9601294033</v>
      </c>
      <c r="K315" s="24">
        <f t="shared" si="48"/>
        <v>0.1764222942</v>
      </c>
      <c r="L315" s="24">
        <f t="shared" si="5"/>
        <v>1.031647054</v>
      </c>
    </row>
    <row r="316">
      <c r="A316" s="7" t="s">
        <v>17</v>
      </c>
      <c r="B316" s="7" t="s">
        <v>39</v>
      </c>
      <c r="C316" s="7">
        <v>18.0</v>
      </c>
      <c r="D316" s="96">
        <v>0.86</v>
      </c>
      <c r="E316" s="74">
        <v>6.32</v>
      </c>
      <c r="F316" s="7">
        <v>0.018</v>
      </c>
      <c r="G316" s="23">
        <v>566.341071678998</v>
      </c>
      <c r="H316" s="24">
        <f t="shared" si="42"/>
        <v>1.6992</v>
      </c>
      <c r="I316" s="25">
        <f t="shared" si="46"/>
        <v>0.3</v>
      </c>
      <c r="J316" s="24">
        <f t="shared" si="47"/>
        <v>0.3245126107</v>
      </c>
      <c r="K316" s="24">
        <f t="shared" si="48"/>
        <v>0.3815859362</v>
      </c>
      <c r="L316" s="24">
        <f t="shared" si="5"/>
        <v>1.018855854</v>
      </c>
    </row>
    <row r="317">
      <c r="A317" s="7" t="s">
        <v>17</v>
      </c>
      <c r="B317" s="7" t="s">
        <v>39</v>
      </c>
      <c r="C317" s="7">
        <v>19.0</v>
      </c>
      <c r="D317" s="96">
        <v>0.86</v>
      </c>
      <c r="E317" s="74">
        <v>7.17</v>
      </c>
      <c r="F317" s="7">
        <v>0.021</v>
      </c>
      <c r="G317" s="23">
        <v>639.484837834999</v>
      </c>
      <c r="H317" s="24">
        <f t="shared" si="42"/>
        <v>1.9824</v>
      </c>
      <c r="I317" s="25">
        <f t="shared" si="46"/>
        <v>0.6</v>
      </c>
      <c r="J317" s="24">
        <f t="shared" si="47"/>
        <v>0.5629996174</v>
      </c>
      <c r="K317" s="24">
        <f t="shared" si="48"/>
        <v>0.2627319901</v>
      </c>
      <c r="L317" s="24">
        <f t="shared" si="5"/>
        <v>0.9768747609</v>
      </c>
    </row>
    <row r="318">
      <c r="A318" s="7" t="s">
        <v>17</v>
      </c>
      <c r="B318" s="7" t="s">
        <v>39</v>
      </c>
      <c r="C318" s="7">
        <v>20.0</v>
      </c>
      <c r="D318" s="96">
        <v>0.86</v>
      </c>
      <c r="E318" s="74">
        <v>6.8</v>
      </c>
      <c r="F318" s="7">
        <v>0.019</v>
      </c>
      <c r="G318" s="23">
        <v>607.427074401999</v>
      </c>
      <c r="H318" s="24">
        <f t="shared" si="42"/>
        <v>1.7936</v>
      </c>
      <c r="I318" s="25">
        <f t="shared" si="46"/>
        <v>0.4</v>
      </c>
      <c r="J318" s="24">
        <f t="shared" si="47"/>
        <v>0.4584745096</v>
      </c>
      <c r="K318" s="24">
        <f t="shared" si="48"/>
        <v>0.3217843594</v>
      </c>
      <c r="L318" s="24">
        <f t="shared" si="5"/>
        <v>1.041767507</v>
      </c>
    </row>
    <row r="319">
      <c r="A319" s="7" t="s">
        <v>17</v>
      </c>
      <c r="B319" s="7" t="s">
        <v>39</v>
      </c>
      <c r="C319" s="7">
        <v>21.0</v>
      </c>
      <c r="D319" s="96">
        <v>0.86</v>
      </c>
      <c r="E319" s="74">
        <v>6.78</v>
      </c>
      <c r="F319" s="7">
        <v>0.019</v>
      </c>
      <c r="G319" s="23">
        <v>608.100456199001</v>
      </c>
      <c r="H319" s="24">
        <f t="shared" si="42"/>
        <v>1.7936</v>
      </c>
      <c r="I319" s="25">
        <f t="shared" si="46"/>
        <v>0.4</v>
      </c>
      <c r="J319" s="24">
        <f t="shared" si="47"/>
        <v>0.4606700871</v>
      </c>
      <c r="K319" s="24">
        <f t="shared" si="48"/>
        <v>0.3213006755</v>
      </c>
      <c r="L319" s="24">
        <f t="shared" si="5"/>
        <v>1.043335777</v>
      </c>
    </row>
    <row r="320">
      <c r="A320" s="7" t="s">
        <v>17</v>
      </c>
      <c r="B320" s="7" t="s">
        <v>39</v>
      </c>
      <c r="C320" s="7">
        <v>22.0</v>
      </c>
      <c r="D320" s="96">
        <v>0.86</v>
      </c>
      <c r="E320" s="74">
        <v>6.41</v>
      </c>
      <c r="F320" s="7">
        <v>0.018</v>
      </c>
      <c r="G320" s="23">
        <v>568.943811020999</v>
      </c>
      <c r="H320" s="24">
        <f t="shared" si="42"/>
        <v>1.6992</v>
      </c>
      <c r="I320" s="25">
        <f t="shared" si="46"/>
        <v>0.3</v>
      </c>
      <c r="J320" s="24">
        <f t="shared" si="47"/>
        <v>0.3329989049</v>
      </c>
      <c r="K320" s="24">
        <f t="shared" si="48"/>
        <v>0.379156639</v>
      </c>
      <c r="L320" s="24">
        <f t="shared" si="5"/>
        <v>1.025383773</v>
      </c>
    </row>
    <row r="321">
      <c r="A321" s="7" t="s">
        <v>17</v>
      </c>
      <c r="B321" s="7" t="s">
        <v>39</v>
      </c>
      <c r="C321" s="7">
        <v>23.0</v>
      </c>
      <c r="D321" s="96">
        <v>0.86</v>
      </c>
      <c r="E321" s="74">
        <v>6.79</v>
      </c>
      <c r="F321" s="7">
        <v>0.019</v>
      </c>
      <c r="G321" s="23">
        <v>607.264903192</v>
      </c>
      <c r="H321" s="24">
        <f t="shared" si="42"/>
        <v>1.7936</v>
      </c>
      <c r="I321" s="25">
        <f t="shared" si="46"/>
        <v>0.4</v>
      </c>
      <c r="J321" s="24">
        <f t="shared" si="47"/>
        <v>0.4579457465</v>
      </c>
      <c r="K321" s="24">
        <f t="shared" si="48"/>
        <v>0.3219010631</v>
      </c>
      <c r="L321" s="24">
        <f t="shared" si="5"/>
        <v>1.041389819</v>
      </c>
    </row>
    <row r="322">
      <c r="A322" s="7" t="s">
        <v>17</v>
      </c>
      <c r="B322" s="7" t="s">
        <v>39</v>
      </c>
      <c r="C322" s="7">
        <v>24.0</v>
      </c>
      <c r="D322" s="96">
        <v>0.86</v>
      </c>
      <c r="E322" s="74">
        <v>7.61</v>
      </c>
      <c r="F322" s="7">
        <v>0.022</v>
      </c>
      <c r="G322" s="23">
        <v>675.690353997999</v>
      </c>
      <c r="H322" s="24">
        <f t="shared" si="42"/>
        <v>2.0768</v>
      </c>
      <c r="I322" s="25">
        <f t="shared" si="46"/>
        <v>0.7</v>
      </c>
      <c r="J322" s="24">
        <f t="shared" si="47"/>
        <v>0.6810485726</v>
      </c>
      <c r="K322" s="24">
        <f t="shared" si="48"/>
        <v>0.2299125224</v>
      </c>
      <c r="L322" s="24">
        <f t="shared" si="5"/>
        <v>0.9888521015</v>
      </c>
    </row>
    <row r="323">
      <c r="A323" s="7" t="s">
        <v>17</v>
      </c>
      <c r="B323" s="7" t="s">
        <v>39</v>
      </c>
      <c r="C323" s="7">
        <v>25.0</v>
      </c>
      <c r="D323" s="96">
        <v>0.86</v>
      </c>
      <c r="E323" s="74">
        <v>7.68</v>
      </c>
      <c r="F323" s="7">
        <v>0.022</v>
      </c>
      <c r="G323" s="23">
        <v>682.174820044998</v>
      </c>
      <c r="H323" s="24">
        <f t="shared" si="42"/>
        <v>2.0768</v>
      </c>
      <c r="I323" s="25">
        <f t="shared" si="46"/>
        <v>0.7</v>
      </c>
      <c r="J323" s="24">
        <f t="shared" si="47"/>
        <v>0.7021913299</v>
      </c>
      <c r="K323" s="24">
        <f t="shared" si="48"/>
        <v>0.2270568008</v>
      </c>
      <c r="L323" s="24">
        <f t="shared" si="5"/>
        <v>1.001289018</v>
      </c>
    </row>
    <row r="324">
      <c r="A324" s="7" t="s">
        <v>17</v>
      </c>
      <c r="B324" s="7" t="s">
        <v>39</v>
      </c>
      <c r="C324" s="7">
        <v>26.0</v>
      </c>
      <c r="D324" s="96">
        <v>0.86</v>
      </c>
      <c r="E324" s="74">
        <v>6.8</v>
      </c>
      <c r="F324" s="7">
        <v>0.019</v>
      </c>
      <c r="G324" s="23">
        <v>603.357490575999</v>
      </c>
      <c r="H324" s="24">
        <f t="shared" si="42"/>
        <v>1.7936</v>
      </c>
      <c r="I324" s="25">
        <f t="shared" si="46"/>
        <v>0.4</v>
      </c>
      <c r="J324" s="24">
        <f t="shared" si="47"/>
        <v>0.4452055338</v>
      </c>
      <c r="K324" s="24">
        <f t="shared" si="48"/>
        <v>0.3247387826</v>
      </c>
      <c r="L324" s="24">
        <f t="shared" si="5"/>
        <v>1.032289667</v>
      </c>
    </row>
    <row r="325">
      <c r="A325" s="7" t="s">
        <v>17</v>
      </c>
      <c r="B325" s="7" t="s">
        <v>39</v>
      </c>
      <c r="C325" s="7">
        <v>27.0</v>
      </c>
      <c r="D325" s="96">
        <v>0.86</v>
      </c>
      <c r="E325" s="74">
        <v>6.7</v>
      </c>
      <c r="F325" s="7">
        <v>0.019</v>
      </c>
      <c r="G325" s="23">
        <v>596.254472059998</v>
      </c>
      <c r="H325" s="24">
        <f t="shared" si="42"/>
        <v>1.7936</v>
      </c>
      <c r="I325" s="25">
        <f t="shared" si="46"/>
        <v>0.4</v>
      </c>
      <c r="J325" s="24">
        <f t="shared" si="47"/>
        <v>0.4220459713</v>
      </c>
      <c r="K325" s="24">
        <f t="shared" si="48"/>
        <v>0.3300275063</v>
      </c>
      <c r="L325" s="24">
        <f t="shared" si="5"/>
        <v>1.015747122</v>
      </c>
    </row>
    <row r="326">
      <c r="A326" s="7" t="s">
        <v>17</v>
      </c>
      <c r="B326" s="7" t="s">
        <v>39</v>
      </c>
      <c r="C326" s="7">
        <v>28.0</v>
      </c>
      <c r="D326" s="96">
        <v>0.86</v>
      </c>
      <c r="E326" s="74">
        <v>5.6</v>
      </c>
      <c r="F326" s="7">
        <v>0.016</v>
      </c>
      <c r="G326" s="23">
        <v>501.414670254002</v>
      </c>
      <c r="H326" s="24">
        <f t="shared" si="42"/>
        <v>1.5104</v>
      </c>
      <c r="I326" s="25">
        <f t="shared" si="46"/>
        <v>0.1</v>
      </c>
      <c r="J326" s="24">
        <f t="shared" si="47"/>
        <v>0.1128185192</v>
      </c>
      <c r="K326" s="24">
        <f t="shared" si="48"/>
        <v>0.5367533705</v>
      </c>
      <c r="L326" s="24">
        <f t="shared" si="5"/>
        <v>1.011653199</v>
      </c>
    </row>
    <row r="327">
      <c r="A327" s="7" t="s">
        <v>17</v>
      </c>
      <c r="B327" s="7" t="s">
        <v>39</v>
      </c>
      <c r="C327" s="7">
        <v>29.0</v>
      </c>
      <c r="D327" s="96">
        <v>0.86</v>
      </c>
      <c r="E327" s="74">
        <v>7.31</v>
      </c>
      <c r="F327" s="7">
        <v>0.021</v>
      </c>
      <c r="G327" s="23">
        <v>650.589733595999</v>
      </c>
      <c r="H327" s="24">
        <f t="shared" si="42"/>
        <v>1.9824</v>
      </c>
      <c r="I327" s="25">
        <f t="shared" si="46"/>
        <v>0.6</v>
      </c>
      <c r="J327" s="24">
        <f t="shared" si="47"/>
        <v>0.5992073968</v>
      </c>
      <c r="K327" s="24">
        <f t="shared" si="48"/>
        <v>0.2567834546</v>
      </c>
      <c r="L327" s="24">
        <f t="shared" si="5"/>
        <v>0.999504623</v>
      </c>
    </row>
    <row r="328">
      <c r="A328" s="7" t="s">
        <v>17</v>
      </c>
      <c r="B328" s="7" t="s">
        <v>39</v>
      </c>
      <c r="C328" s="7">
        <v>30.0</v>
      </c>
      <c r="D328" s="96">
        <v>0.86</v>
      </c>
      <c r="E328" s="74">
        <v>6.55</v>
      </c>
      <c r="F328" s="7">
        <v>0.019</v>
      </c>
      <c r="G328" s="23">
        <v>583.301691550001</v>
      </c>
      <c r="H328" s="24">
        <f t="shared" si="42"/>
        <v>1.7936</v>
      </c>
      <c r="I328" s="25">
        <f t="shared" si="46"/>
        <v>0.4</v>
      </c>
      <c r="J328" s="24">
        <f t="shared" si="47"/>
        <v>0.3798131193</v>
      </c>
      <c r="K328" s="24">
        <f t="shared" si="48"/>
        <v>0.3401288763</v>
      </c>
      <c r="L328" s="24">
        <f t="shared" si="5"/>
        <v>0.9855807995</v>
      </c>
    </row>
    <row r="329">
      <c r="A329" s="7" t="s">
        <v>17</v>
      </c>
      <c r="B329" s="7" t="s">
        <v>39</v>
      </c>
      <c r="C329" s="7">
        <v>31.0</v>
      </c>
      <c r="D329" s="96">
        <v>0.86</v>
      </c>
      <c r="E329" s="74">
        <v>8.28</v>
      </c>
      <c r="F329" s="7">
        <v>0.024</v>
      </c>
      <c r="G329" s="23">
        <v>739.718135565999</v>
      </c>
      <c r="H329" s="24">
        <f t="shared" si="42"/>
        <v>2.2656</v>
      </c>
      <c r="I329" s="25">
        <f t="shared" si="46"/>
        <v>0.9</v>
      </c>
      <c r="J329" s="24">
        <f t="shared" si="47"/>
        <v>0.8898126925</v>
      </c>
      <c r="K329" s="24">
        <f t="shared" si="48"/>
        <v>0.1829866672</v>
      </c>
      <c r="L329" s="24">
        <f t="shared" si="5"/>
        <v>0.9946382592</v>
      </c>
    </row>
    <row r="330">
      <c r="A330" s="7" t="s">
        <v>17</v>
      </c>
      <c r="B330" s="7" t="s">
        <v>39</v>
      </c>
      <c r="C330" s="7">
        <v>32.0</v>
      </c>
      <c r="D330" s="96">
        <v>0.86</v>
      </c>
      <c r="E330" s="74">
        <v>6.59</v>
      </c>
      <c r="F330" s="7">
        <v>0.019</v>
      </c>
      <c r="G330" s="23">
        <v>589.250909024998</v>
      </c>
      <c r="H330" s="24">
        <f t="shared" si="42"/>
        <v>1.7936</v>
      </c>
      <c r="I330" s="25">
        <f t="shared" si="46"/>
        <v>0.4</v>
      </c>
      <c r="J330" s="24">
        <f t="shared" si="47"/>
        <v>0.3992106858</v>
      </c>
      <c r="K330" s="24">
        <f t="shared" si="48"/>
        <v>0.3354135946</v>
      </c>
      <c r="L330" s="24">
        <f t="shared" si="5"/>
        <v>0.9994362041</v>
      </c>
    </row>
    <row r="331">
      <c r="A331" s="7" t="s">
        <v>17</v>
      </c>
      <c r="B331" s="7" t="s">
        <v>39</v>
      </c>
      <c r="C331" s="7">
        <v>33.0</v>
      </c>
      <c r="D331" s="96">
        <v>0.86</v>
      </c>
      <c r="E331" s="74">
        <v>5.56</v>
      </c>
      <c r="F331" s="7">
        <v>0.016</v>
      </c>
      <c r="G331" s="23">
        <v>499.643857691997</v>
      </c>
      <c r="H331" s="24">
        <f t="shared" si="42"/>
        <v>1.5104</v>
      </c>
      <c r="I331" s="25">
        <f t="shared" si="46"/>
        <v>0.1</v>
      </c>
      <c r="J331" s="24">
        <f t="shared" si="47"/>
        <v>0.1070447423</v>
      </c>
      <c r="K331" s="24">
        <f t="shared" si="48"/>
        <v>0.5395528004</v>
      </c>
      <c r="L331" s="24">
        <f t="shared" si="5"/>
        <v>1.006404311</v>
      </c>
    </row>
    <row r="332">
      <c r="A332" s="58" t="s">
        <v>17</v>
      </c>
      <c r="B332" s="58" t="s">
        <v>40</v>
      </c>
      <c r="C332" s="7">
        <v>1.0</v>
      </c>
      <c r="D332" s="96">
        <v>0.87</v>
      </c>
      <c r="E332" s="74">
        <v>5.17</v>
      </c>
      <c r="F332" s="7">
        <v>0.019</v>
      </c>
      <c r="G332" s="23">
        <v>639.638907147</v>
      </c>
      <c r="H332" s="24">
        <f t="shared" ref="H332:H364" si="49">F332*153/5</f>
        <v>0.5814</v>
      </c>
      <c r="I332" s="25">
        <f t="shared" ref="I332:I364" si="50">(H332-MIN($H$332:$H$364))/(MAX($H$332:$H$364)-MIN($H$332:$H$364))</f>
        <v>0.6363636364</v>
      </c>
      <c r="J332" s="24">
        <f t="shared" ref="J332:J364" si="51">(G332-MIN($G$332:$G$364))/(MAX($G$332:$G$364)-MIN($G$332:$G$364))</f>
        <v>0.6807234048</v>
      </c>
      <c r="K332" s="24">
        <f t="shared" ref="K332:K364" si="52">0.87*(1/(1+I332))*(1/(1+J332))*(1-0.0918)</f>
        <v>0.2872927605</v>
      </c>
      <c r="L332" s="24">
        <f t="shared" si="5"/>
        <v>1.027108747</v>
      </c>
    </row>
    <row r="333">
      <c r="A333" s="7" t="s">
        <v>17</v>
      </c>
      <c r="B333" s="7" t="s">
        <v>40</v>
      </c>
      <c r="C333" s="7">
        <v>2.0</v>
      </c>
      <c r="D333" s="96">
        <v>0.87</v>
      </c>
      <c r="E333" s="74">
        <v>3.87</v>
      </c>
      <c r="F333" s="7">
        <v>0.014</v>
      </c>
      <c r="G333" s="23">
        <v>473.011995687</v>
      </c>
      <c r="H333" s="24">
        <f t="shared" si="49"/>
        <v>0.4284</v>
      </c>
      <c r="I333" s="25">
        <f t="shared" si="50"/>
        <v>0.1818181818</v>
      </c>
      <c r="J333" s="24">
        <f t="shared" si="51"/>
        <v>0.2188479072</v>
      </c>
      <c r="K333" s="24">
        <f t="shared" si="52"/>
        <v>0.5485302302</v>
      </c>
      <c r="L333" s="24">
        <f t="shared" si="5"/>
        <v>1.031332845</v>
      </c>
    </row>
    <row r="334">
      <c r="A334" s="7" t="s">
        <v>17</v>
      </c>
      <c r="B334" s="7" t="s">
        <v>40</v>
      </c>
      <c r="C334" s="7">
        <v>3.0</v>
      </c>
      <c r="D334" s="96">
        <v>0.87</v>
      </c>
      <c r="E334" s="74">
        <v>4.11</v>
      </c>
      <c r="F334" s="7">
        <v>0.015</v>
      </c>
      <c r="G334" s="23">
        <v>502.760276294</v>
      </c>
      <c r="H334" s="24">
        <f t="shared" si="49"/>
        <v>0.459</v>
      </c>
      <c r="I334" s="25">
        <f t="shared" si="50"/>
        <v>0.2727272727</v>
      </c>
      <c r="J334" s="24">
        <f t="shared" si="51"/>
        <v>0.3013075878</v>
      </c>
      <c r="K334" s="24">
        <f t="shared" si="52"/>
        <v>0.4770736582</v>
      </c>
      <c r="L334" s="24">
        <f t="shared" si="5"/>
        <v>1.022455962</v>
      </c>
    </row>
    <row r="335">
      <c r="A335" s="7" t="s">
        <v>17</v>
      </c>
      <c r="B335" s="7" t="s">
        <v>40</v>
      </c>
      <c r="C335" s="7">
        <v>4.0</v>
      </c>
      <c r="D335" s="96">
        <v>0.87</v>
      </c>
      <c r="E335" s="74">
        <v>4.46</v>
      </c>
      <c r="F335" s="7">
        <v>0.017</v>
      </c>
      <c r="G335" s="23">
        <v>545.174391316</v>
      </c>
      <c r="H335" s="24">
        <f t="shared" si="49"/>
        <v>0.5202</v>
      </c>
      <c r="I335" s="25">
        <f t="shared" si="50"/>
        <v>0.4545454545</v>
      </c>
      <c r="J335" s="24">
        <f t="shared" si="51"/>
        <v>0.4188758744</v>
      </c>
      <c r="K335" s="24">
        <f t="shared" si="52"/>
        <v>0.3828503499</v>
      </c>
      <c r="L335" s="24">
        <f t="shared" si="5"/>
        <v>0.9754771637</v>
      </c>
    </row>
    <row r="336">
      <c r="A336" s="7" t="s">
        <v>17</v>
      </c>
      <c r="B336" s="7" t="s">
        <v>40</v>
      </c>
      <c r="C336" s="7">
        <v>5.0</v>
      </c>
      <c r="D336" s="96">
        <v>0.87</v>
      </c>
      <c r="E336" s="74">
        <v>6.23</v>
      </c>
      <c r="F336" s="7">
        <v>0.023</v>
      </c>
      <c r="G336" s="23">
        <v>754.821620323999</v>
      </c>
      <c r="H336" s="24">
        <f t="shared" si="49"/>
        <v>0.7038</v>
      </c>
      <c r="I336" s="25">
        <f t="shared" si="50"/>
        <v>1</v>
      </c>
      <c r="J336" s="24">
        <f t="shared" si="51"/>
        <v>1</v>
      </c>
      <c r="K336" s="24">
        <f t="shared" si="52"/>
        <v>0.1975335</v>
      </c>
      <c r="L336" s="24">
        <f t="shared" si="5"/>
        <v>1</v>
      </c>
    </row>
    <row r="337">
      <c r="A337" s="7" t="s">
        <v>17</v>
      </c>
      <c r="B337" s="7" t="s">
        <v>40</v>
      </c>
      <c r="C337" s="7">
        <v>6.0</v>
      </c>
      <c r="D337" s="96">
        <v>0.87</v>
      </c>
      <c r="E337" s="74">
        <v>4.74</v>
      </c>
      <c r="F337" s="7">
        <v>0.018</v>
      </c>
      <c r="G337" s="23">
        <v>577.334437518</v>
      </c>
      <c r="H337" s="24">
        <f t="shared" si="49"/>
        <v>0.5508</v>
      </c>
      <c r="I337" s="25">
        <f t="shared" si="50"/>
        <v>0.5454545455</v>
      </c>
      <c r="J337" s="24">
        <f t="shared" si="51"/>
        <v>0.5080207623</v>
      </c>
      <c r="K337" s="24">
        <f t="shared" si="52"/>
        <v>0.3390292689</v>
      </c>
      <c r="L337" s="24">
        <f t="shared" si="5"/>
        <v>0.9757781403</v>
      </c>
    </row>
    <row r="338">
      <c r="A338" s="7" t="s">
        <v>17</v>
      </c>
      <c r="B338" s="7" t="s">
        <v>40</v>
      </c>
      <c r="C338" s="7">
        <v>7.0</v>
      </c>
      <c r="D338" s="96">
        <v>0.87</v>
      </c>
      <c r="E338" s="74">
        <v>5.62</v>
      </c>
      <c r="F338" s="7">
        <v>0.021</v>
      </c>
      <c r="G338" s="23">
        <v>681.405038419</v>
      </c>
      <c r="H338" s="24">
        <f t="shared" si="49"/>
        <v>0.6426</v>
      </c>
      <c r="I338" s="25">
        <f t="shared" si="50"/>
        <v>0.8181818182</v>
      </c>
      <c r="J338" s="24">
        <f t="shared" si="51"/>
        <v>0.796495536</v>
      </c>
      <c r="K338" s="24">
        <f t="shared" si="52"/>
        <v>0.2419007959</v>
      </c>
      <c r="L338" s="24">
        <f t="shared" si="5"/>
        <v>0.9880725448</v>
      </c>
    </row>
    <row r="339">
      <c r="A339" s="7" t="s">
        <v>17</v>
      </c>
      <c r="B339" s="7" t="s">
        <v>40</v>
      </c>
      <c r="C339" s="7">
        <v>8.0</v>
      </c>
      <c r="D339" s="96">
        <v>0.87</v>
      </c>
      <c r="E339" s="74">
        <v>4.13</v>
      </c>
      <c r="F339" s="7">
        <v>0.015</v>
      </c>
      <c r="G339" s="23">
        <v>499.931888787999</v>
      </c>
      <c r="H339" s="24">
        <f t="shared" si="49"/>
        <v>0.459</v>
      </c>
      <c r="I339" s="25">
        <f t="shared" si="50"/>
        <v>0.2727272727</v>
      </c>
      <c r="J339" s="24">
        <f t="shared" si="51"/>
        <v>0.2934675404</v>
      </c>
      <c r="K339" s="24">
        <f t="shared" si="52"/>
        <v>0.4799653273</v>
      </c>
      <c r="L339" s="24">
        <f t="shared" si="5"/>
        <v>1.016295925</v>
      </c>
    </row>
    <row r="340">
      <c r="A340" s="7" t="s">
        <v>17</v>
      </c>
      <c r="B340" s="7" t="s">
        <v>40</v>
      </c>
      <c r="C340" s="7">
        <v>9.0</v>
      </c>
      <c r="D340" s="96">
        <v>0.87</v>
      </c>
      <c r="E340" s="74">
        <v>3.62</v>
      </c>
      <c r="F340" s="7">
        <v>0.014</v>
      </c>
      <c r="G340" s="23">
        <v>436.792561647</v>
      </c>
      <c r="H340" s="24">
        <f t="shared" si="49"/>
        <v>0.4284</v>
      </c>
      <c r="I340" s="25">
        <f t="shared" si="50"/>
        <v>0.1818181818</v>
      </c>
      <c r="J340" s="24">
        <f t="shared" si="51"/>
        <v>0.1184507446</v>
      </c>
      <c r="K340" s="24">
        <f t="shared" si="52"/>
        <v>0.5977687675</v>
      </c>
      <c r="L340" s="24">
        <f t="shared" si="5"/>
        <v>0.9463813993</v>
      </c>
    </row>
    <row r="341">
      <c r="A341" s="7" t="s">
        <v>17</v>
      </c>
      <c r="B341" s="7" t="s">
        <v>40</v>
      </c>
      <c r="C341" s="7">
        <v>10.0</v>
      </c>
      <c r="D341" s="96">
        <v>0.87</v>
      </c>
      <c r="E341" s="74">
        <v>3.26</v>
      </c>
      <c r="F341" s="7">
        <v>0.012</v>
      </c>
      <c r="G341" s="23">
        <v>394.060089734</v>
      </c>
      <c r="H341" s="24">
        <f t="shared" si="49"/>
        <v>0.3672</v>
      </c>
      <c r="I341" s="25">
        <f t="shared" si="50"/>
        <v>0</v>
      </c>
      <c r="J341" s="24">
        <f t="shared" si="51"/>
        <v>0</v>
      </c>
      <c r="K341" s="24">
        <f t="shared" si="52"/>
        <v>0.790134</v>
      </c>
      <c r="L341" s="24">
        <f t="shared" si="5"/>
        <v>1</v>
      </c>
    </row>
    <row r="342">
      <c r="A342" s="7" t="s">
        <v>17</v>
      </c>
      <c r="B342" s="7" t="s">
        <v>40</v>
      </c>
      <c r="C342" s="7">
        <v>11.0</v>
      </c>
      <c r="D342" s="96">
        <v>0.87</v>
      </c>
      <c r="E342" s="74">
        <v>3.33</v>
      </c>
      <c r="F342" s="7">
        <v>0.012</v>
      </c>
      <c r="G342" s="23">
        <v>403.590397271</v>
      </c>
      <c r="H342" s="24">
        <f t="shared" si="49"/>
        <v>0.3672</v>
      </c>
      <c r="I342" s="25">
        <f t="shared" si="50"/>
        <v>0</v>
      </c>
      <c r="J342" s="24">
        <f t="shared" si="51"/>
        <v>0.02641719454</v>
      </c>
      <c r="K342" s="24">
        <f t="shared" si="52"/>
        <v>0.769798094</v>
      </c>
      <c r="L342" s="24">
        <f t="shared" si="5"/>
        <v>1.026417195</v>
      </c>
    </row>
    <row r="343">
      <c r="A343" s="7" t="s">
        <v>17</v>
      </c>
      <c r="B343" s="7" t="s">
        <v>40</v>
      </c>
      <c r="C343" s="7">
        <v>12.0</v>
      </c>
      <c r="D343" s="96">
        <v>0.87</v>
      </c>
      <c r="E343" s="74">
        <v>4.68</v>
      </c>
      <c r="F343" s="7">
        <v>0.017</v>
      </c>
      <c r="G343" s="23">
        <v>560.101669941999</v>
      </c>
      <c r="H343" s="24">
        <f t="shared" si="49"/>
        <v>0.5202</v>
      </c>
      <c r="I343" s="25">
        <f t="shared" si="50"/>
        <v>0.4545454545</v>
      </c>
      <c r="J343" s="24">
        <f t="shared" si="51"/>
        <v>0.4602530096</v>
      </c>
      <c r="K343" s="24">
        <f t="shared" si="52"/>
        <v>0.3720020582</v>
      </c>
      <c r="L343" s="24">
        <f t="shared" si="5"/>
        <v>1.003923944</v>
      </c>
    </row>
    <row r="344">
      <c r="A344" s="7" t="s">
        <v>17</v>
      </c>
      <c r="B344" s="7" t="s">
        <v>40</v>
      </c>
      <c r="C344" s="7">
        <v>13.0</v>
      </c>
      <c r="D344" s="96">
        <v>0.87</v>
      </c>
      <c r="E344" s="74">
        <v>3.65</v>
      </c>
      <c r="F344" s="7">
        <v>0.014</v>
      </c>
      <c r="G344" s="23">
        <v>438.528678519999</v>
      </c>
      <c r="H344" s="24">
        <f t="shared" si="49"/>
        <v>0.4284</v>
      </c>
      <c r="I344" s="25">
        <f t="shared" si="50"/>
        <v>0.1818181818</v>
      </c>
      <c r="J344" s="24">
        <f t="shared" si="51"/>
        <v>0.1232631115</v>
      </c>
      <c r="K344" s="24">
        <f t="shared" si="52"/>
        <v>0.5952077623</v>
      </c>
      <c r="L344" s="24">
        <f t="shared" si="5"/>
        <v>0.9504534021</v>
      </c>
    </row>
    <row r="345">
      <c r="A345" s="7" t="s">
        <v>17</v>
      </c>
      <c r="B345" s="7" t="s">
        <v>40</v>
      </c>
      <c r="C345" s="7">
        <v>14.0</v>
      </c>
      <c r="D345" s="96">
        <v>0.87</v>
      </c>
      <c r="E345" s="74">
        <v>5.57</v>
      </c>
      <c r="F345" s="7">
        <v>0.021</v>
      </c>
      <c r="G345" s="23">
        <v>662.104207780001</v>
      </c>
      <c r="H345" s="24">
        <f t="shared" si="49"/>
        <v>0.6426</v>
      </c>
      <c r="I345" s="25">
        <f t="shared" si="50"/>
        <v>0.8181818182</v>
      </c>
      <c r="J345" s="24">
        <f t="shared" si="51"/>
        <v>0.74299529</v>
      </c>
      <c r="K345" s="24">
        <f t="shared" si="52"/>
        <v>0.2493258028</v>
      </c>
      <c r="L345" s="24">
        <f t="shared" si="5"/>
        <v>0.9586474095</v>
      </c>
    </row>
    <row r="346">
      <c r="A346" s="7" t="s">
        <v>17</v>
      </c>
      <c r="B346" s="7" t="s">
        <v>40</v>
      </c>
      <c r="C346" s="7">
        <v>15.0</v>
      </c>
      <c r="D346" s="96">
        <v>0.87</v>
      </c>
      <c r="E346" s="74">
        <v>4.17</v>
      </c>
      <c r="F346" s="7">
        <v>0.016</v>
      </c>
      <c r="G346" s="23">
        <v>497.335075802999</v>
      </c>
      <c r="H346" s="24">
        <f t="shared" si="49"/>
        <v>0.4896</v>
      </c>
      <c r="I346" s="25">
        <f t="shared" si="50"/>
        <v>0.3636363636</v>
      </c>
      <c r="J346" s="24">
        <f t="shared" si="51"/>
        <v>0.2862693977</v>
      </c>
      <c r="K346" s="24">
        <f t="shared" si="52"/>
        <v>0.4504745282</v>
      </c>
      <c r="L346" s="24">
        <f t="shared" si="5"/>
        <v>0.943264225</v>
      </c>
    </row>
    <row r="347">
      <c r="A347" s="7" t="s">
        <v>17</v>
      </c>
      <c r="B347" s="7" t="s">
        <v>40</v>
      </c>
      <c r="C347" s="7">
        <v>16.0</v>
      </c>
      <c r="D347" s="96">
        <v>0.87</v>
      </c>
      <c r="E347" s="74">
        <v>4.94</v>
      </c>
      <c r="F347" s="7">
        <v>0.018</v>
      </c>
      <c r="G347" s="23">
        <v>593.023344324999</v>
      </c>
      <c r="H347" s="24">
        <f t="shared" si="49"/>
        <v>0.5508</v>
      </c>
      <c r="I347" s="25">
        <f t="shared" si="50"/>
        <v>0.5454545455</v>
      </c>
      <c r="J347" s="24">
        <f t="shared" si="51"/>
        <v>0.5515090655</v>
      </c>
      <c r="K347" s="24">
        <f t="shared" si="52"/>
        <v>0.3295263868</v>
      </c>
      <c r="L347" s="24">
        <f t="shared" si="5"/>
        <v>1.003917631</v>
      </c>
    </row>
    <row r="348">
      <c r="A348" s="7" t="s">
        <v>17</v>
      </c>
      <c r="B348" s="7" t="s">
        <v>40</v>
      </c>
      <c r="C348" s="7">
        <v>17.0</v>
      </c>
      <c r="D348" s="96">
        <v>0.87</v>
      </c>
      <c r="E348" s="74">
        <v>4.69</v>
      </c>
      <c r="F348" s="7">
        <v>0.018</v>
      </c>
      <c r="G348" s="23">
        <v>561.254454012001</v>
      </c>
      <c r="H348" s="24">
        <f t="shared" si="49"/>
        <v>0.5508</v>
      </c>
      <c r="I348" s="25">
        <f t="shared" si="50"/>
        <v>0.5454545455</v>
      </c>
      <c r="J348" s="24">
        <f t="shared" si="51"/>
        <v>0.4634484281</v>
      </c>
      <c r="K348" s="24">
        <f t="shared" si="52"/>
        <v>0.3493551031</v>
      </c>
      <c r="L348" s="24">
        <f t="shared" si="5"/>
        <v>0.9469372182</v>
      </c>
    </row>
    <row r="349">
      <c r="A349" s="7" t="s">
        <v>17</v>
      </c>
      <c r="B349" s="7" t="s">
        <v>40</v>
      </c>
      <c r="C349" s="7">
        <v>18.0</v>
      </c>
      <c r="D349" s="96">
        <v>0.87</v>
      </c>
      <c r="E349" s="74">
        <v>4.03</v>
      </c>
      <c r="F349" s="7">
        <v>0.015</v>
      </c>
      <c r="G349" s="23">
        <v>484.302274173</v>
      </c>
      <c r="H349" s="24">
        <f t="shared" si="49"/>
        <v>0.459</v>
      </c>
      <c r="I349" s="25">
        <f t="shared" si="50"/>
        <v>0.2727272727</v>
      </c>
      <c r="J349" s="24">
        <f t="shared" si="51"/>
        <v>0.2501435901</v>
      </c>
      <c r="K349" s="24">
        <f t="shared" si="52"/>
        <v>0.4965986118</v>
      </c>
      <c r="L349" s="24">
        <f t="shared" si="5"/>
        <v>0.982255678</v>
      </c>
    </row>
    <row r="350">
      <c r="A350" s="7" t="s">
        <v>17</v>
      </c>
      <c r="B350" s="7" t="s">
        <v>40</v>
      </c>
      <c r="C350" s="7">
        <v>19.0</v>
      </c>
      <c r="D350" s="96">
        <v>0.87</v>
      </c>
      <c r="E350" s="74">
        <v>4.15</v>
      </c>
      <c r="F350" s="7">
        <v>0.016</v>
      </c>
      <c r="G350" s="23">
        <v>499.059833000999</v>
      </c>
      <c r="H350" s="24">
        <f t="shared" si="49"/>
        <v>0.4896</v>
      </c>
      <c r="I350" s="25">
        <f t="shared" si="50"/>
        <v>0.3636363636</v>
      </c>
      <c r="J350" s="24">
        <f t="shared" si="51"/>
        <v>0.2910502766</v>
      </c>
      <c r="K350" s="24">
        <f t="shared" si="52"/>
        <v>0.4488063792</v>
      </c>
      <c r="L350" s="24">
        <f t="shared" si="5"/>
        <v>0.9467702028</v>
      </c>
    </row>
    <row r="351">
      <c r="A351" s="7" t="s">
        <v>17</v>
      </c>
      <c r="B351" s="7" t="s">
        <v>40</v>
      </c>
      <c r="C351" s="7">
        <v>20.0</v>
      </c>
      <c r="D351" s="96">
        <v>0.87</v>
      </c>
      <c r="E351" s="74">
        <v>3.79</v>
      </c>
      <c r="F351" s="7">
        <v>0.014</v>
      </c>
      <c r="G351" s="23">
        <v>452.385012221</v>
      </c>
      <c r="H351" s="24">
        <f t="shared" si="49"/>
        <v>0.4284</v>
      </c>
      <c r="I351" s="25">
        <f t="shared" si="50"/>
        <v>0.1818181818</v>
      </c>
      <c r="J351" s="24">
        <f t="shared" si="51"/>
        <v>0.1616716793</v>
      </c>
      <c r="K351" s="24">
        <f t="shared" si="52"/>
        <v>0.5755282968</v>
      </c>
      <c r="L351" s="24">
        <f t="shared" si="5"/>
        <v>0.9829529594</v>
      </c>
    </row>
    <row r="352">
      <c r="A352" s="7" t="s">
        <v>17</v>
      </c>
      <c r="B352" s="7" t="s">
        <v>40</v>
      </c>
      <c r="C352" s="7">
        <v>21.0</v>
      </c>
      <c r="D352" s="96">
        <v>0.87</v>
      </c>
      <c r="E352" s="74">
        <v>4.44</v>
      </c>
      <c r="F352" s="7">
        <v>0.017</v>
      </c>
      <c r="G352" s="23">
        <v>531.049816376998</v>
      </c>
      <c r="H352" s="24">
        <f t="shared" si="49"/>
        <v>0.5202</v>
      </c>
      <c r="I352" s="25">
        <f t="shared" si="50"/>
        <v>0.4545454545</v>
      </c>
      <c r="J352" s="24">
        <f t="shared" si="51"/>
        <v>0.3797237649</v>
      </c>
      <c r="K352" s="24">
        <f t="shared" si="52"/>
        <v>0.3937144078</v>
      </c>
      <c r="L352" s="24">
        <f t="shared" si="5"/>
        <v>0.9485600884</v>
      </c>
    </row>
    <row r="353">
      <c r="A353" s="7" t="s">
        <v>17</v>
      </c>
      <c r="B353" s="7" t="s">
        <v>40</v>
      </c>
      <c r="C353" s="7">
        <v>22.0</v>
      </c>
      <c r="D353" s="96">
        <v>0.87</v>
      </c>
      <c r="E353" s="74">
        <v>4.63</v>
      </c>
      <c r="F353" s="7">
        <v>0.017</v>
      </c>
      <c r="G353" s="23">
        <v>547.745992076999</v>
      </c>
      <c r="H353" s="24">
        <f t="shared" si="49"/>
        <v>0.5202</v>
      </c>
      <c r="I353" s="25">
        <f t="shared" si="50"/>
        <v>0.4545454545</v>
      </c>
      <c r="J353" s="24">
        <f t="shared" si="51"/>
        <v>0.426004131</v>
      </c>
      <c r="K353" s="24">
        <f t="shared" si="52"/>
        <v>0.3809365718</v>
      </c>
      <c r="L353" s="24">
        <f t="shared" si="5"/>
        <v>0.9803778401</v>
      </c>
    </row>
    <row r="354">
      <c r="A354" s="7" t="s">
        <v>17</v>
      </c>
      <c r="B354" s="7" t="s">
        <v>40</v>
      </c>
      <c r="C354" s="7">
        <v>23.0</v>
      </c>
      <c r="D354" s="96">
        <v>0.87</v>
      </c>
      <c r="E354" s="74">
        <v>4.73</v>
      </c>
      <c r="F354" s="7">
        <v>0.018</v>
      </c>
      <c r="G354" s="23">
        <v>562.975012461</v>
      </c>
      <c r="H354" s="24">
        <f t="shared" si="49"/>
        <v>0.5508</v>
      </c>
      <c r="I354" s="25">
        <f t="shared" si="50"/>
        <v>0.5454545455</v>
      </c>
      <c r="J354" s="24">
        <f t="shared" si="51"/>
        <v>0.4682176685</v>
      </c>
      <c r="K354" s="24">
        <f t="shared" si="52"/>
        <v>0.348220286</v>
      </c>
      <c r="L354" s="24">
        <f t="shared" si="5"/>
        <v>0.9500231972</v>
      </c>
    </row>
    <row r="355">
      <c r="A355" s="7" t="s">
        <v>17</v>
      </c>
      <c r="B355" s="7" t="s">
        <v>40</v>
      </c>
      <c r="C355" s="7">
        <v>24.0</v>
      </c>
      <c r="D355" s="96">
        <v>0.87</v>
      </c>
      <c r="E355" s="74">
        <v>5.89</v>
      </c>
      <c r="F355" s="7">
        <v>0.022</v>
      </c>
      <c r="G355" s="23">
        <v>697.445042711999</v>
      </c>
      <c r="H355" s="24">
        <f t="shared" si="49"/>
        <v>0.6732</v>
      </c>
      <c r="I355" s="25">
        <f t="shared" si="50"/>
        <v>0.9090909091</v>
      </c>
      <c r="J355" s="24">
        <f t="shared" si="51"/>
        <v>0.8409570513</v>
      </c>
      <c r="K355" s="24">
        <f t="shared" si="52"/>
        <v>0.2248176914</v>
      </c>
      <c r="L355" s="24">
        <f t="shared" si="5"/>
        <v>0.9643108364</v>
      </c>
    </row>
    <row r="356">
      <c r="A356" s="7" t="s">
        <v>17</v>
      </c>
      <c r="B356" s="7" t="s">
        <v>40</v>
      </c>
      <c r="C356" s="7">
        <v>25.0</v>
      </c>
      <c r="D356" s="96">
        <v>0.87</v>
      </c>
      <c r="E356" s="74">
        <v>5.05</v>
      </c>
      <c r="F356" s="7">
        <v>0.019</v>
      </c>
      <c r="G356" s="23">
        <v>599.488477303999</v>
      </c>
      <c r="H356" s="24">
        <f t="shared" si="49"/>
        <v>0.5814</v>
      </c>
      <c r="I356" s="25">
        <f t="shared" si="50"/>
        <v>0.6363636364</v>
      </c>
      <c r="J356" s="24">
        <f t="shared" si="51"/>
        <v>0.5694298592</v>
      </c>
      <c r="K356" s="24">
        <f t="shared" si="52"/>
        <v>0.3076656557</v>
      </c>
      <c r="L356" s="24">
        <f t="shared" si="5"/>
        <v>0.9590960251</v>
      </c>
    </row>
    <row r="357">
      <c r="A357" s="7" t="s">
        <v>17</v>
      </c>
      <c r="B357" s="7" t="s">
        <v>40</v>
      </c>
      <c r="C357" s="7">
        <v>26.0</v>
      </c>
      <c r="D357" s="96">
        <v>0.87</v>
      </c>
      <c r="E357" s="74">
        <v>4.69</v>
      </c>
      <c r="F357" s="7">
        <v>0.018</v>
      </c>
      <c r="G357" s="23">
        <v>554.465199469999</v>
      </c>
      <c r="H357" s="24">
        <f t="shared" si="49"/>
        <v>0.5508</v>
      </c>
      <c r="I357" s="25">
        <f t="shared" si="50"/>
        <v>0.5454545455</v>
      </c>
      <c r="J357" s="24">
        <f t="shared" si="51"/>
        <v>0.4446291972</v>
      </c>
      <c r="K357" s="24">
        <f t="shared" si="52"/>
        <v>0.3539061632</v>
      </c>
      <c r="L357" s="24">
        <f t="shared" si="5"/>
        <v>0.9347600688</v>
      </c>
    </row>
    <row r="358">
      <c r="A358" s="7" t="s">
        <v>17</v>
      </c>
      <c r="B358" s="7" t="s">
        <v>40</v>
      </c>
      <c r="C358" s="7">
        <v>27.0</v>
      </c>
      <c r="D358" s="96">
        <v>0.87</v>
      </c>
      <c r="E358" s="74">
        <v>3.71</v>
      </c>
      <c r="F358" s="7">
        <v>0.014</v>
      </c>
      <c r="G358" s="23">
        <v>442.30407052</v>
      </c>
      <c r="H358" s="24">
        <f t="shared" si="49"/>
        <v>0.4284</v>
      </c>
      <c r="I358" s="25">
        <f t="shared" si="50"/>
        <v>0.1818181818</v>
      </c>
      <c r="J358" s="24">
        <f t="shared" si="51"/>
        <v>0.1337281741</v>
      </c>
      <c r="K358" s="24">
        <f t="shared" si="52"/>
        <v>0.5897136001</v>
      </c>
      <c r="L358" s="24">
        <f t="shared" si="5"/>
        <v>0.959308455</v>
      </c>
    </row>
    <row r="359">
      <c r="A359" s="7" t="s">
        <v>17</v>
      </c>
      <c r="B359" s="7" t="s">
        <v>40</v>
      </c>
      <c r="C359" s="7">
        <v>28.0</v>
      </c>
      <c r="D359" s="96">
        <v>0.87</v>
      </c>
      <c r="E359" s="74">
        <v>4.22</v>
      </c>
      <c r="F359" s="7">
        <v>0.016</v>
      </c>
      <c r="G359" s="23">
        <v>504.169395942</v>
      </c>
      <c r="H359" s="24">
        <f t="shared" si="49"/>
        <v>0.4896</v>
      </c>
      <c r="I359" s="25">
        <f t="shared" si="50"/>
        <v>0.3636363636</v>
      </c>
      <c r="J359" s="24">
        <f t="shared" si="51"/>
        <v>0.3052135465</v>
      </c>
      <c r="K359" s="24">
        <f t="shared" si="52"/>
        <v>0.4439362444</v>
      </c>
      <c r="L359" s="24">
        <f t="shared" si="5"/>
        <v>0.9571566008</v>
      </c>
    </row>
    <row r="360">
      <c r="A360" s="7" t="s">
        <v>17</v>
      </c>
      <c r="B360" s="7" t="s">
        <v>40</v>
      </c>
      <c r="C360" s="7">
        <v>29.0</v>
      </c>
      <c r="D360" s="96">
        <v>0.87</v>
      </c>
      <c r="E360" s="74">
        <v>3.98</v>
      </c>
      <c r="F360" s="7">
        <v>0.015</v>
      </c>
      <c r="G360" s="23">
        <v>472.810055002999</v>
      </c>
      <c r="H360" s="24">
        <f t="shared" si="49"/>
        <v>0.459</v>
      </c>
      <c r="I360" s="25">
        <f t="shared" si="50"/>
        <v>0.2727272727</v>
      </c>
      <c r="J360" s="24">
        <f t="shared" si="51"/>
        <v>0.2182881449</v>
      </c>
      <c r="K360" s="24">
        <f t="shared" si="52"/>
        <v>0.5095835283</v>
      </c>
      <c r="L360" s="24">
        <f t="shared" si="5"/>
        <v>0.9572263996</v>
      </c>
    </row>
    <row r="361">
      <c r="A361" s="7" t="s">
        <v>17</v>
      </c>
      <c r="B361" s="7" t="s">
        <v>40</v>
      </c>
      <c r="C361" s="7">
        <v>30.0</v>
      </c>
      <c r="D361" s="96">
        <v>0.87</v>
      </c>
      <c r="E361" s="74">
        <v>4.4</v>
      </c>
      <c r="F361" s="7">
        <v>0.016</v>
      </c>
      <c r="G361" s="23">
        <v>522.964429444</v>
      </c>
      <c r="H361" s="24">
        <f t="shared" si="49"/>
        <v>0.4896</v>
      </c>
      <c r="I361" s="25">
        <f t="shared" si="50"/>
        <v>0.3636363636</v>
      </c>
      <c r="J361" s="24">
        <f t="shared" si="51"/>
        <v>0.3573117663</v>
      </c>
      <c r="K361" s="24">
        <f t="shared" si="52"/>
        <v>0.4268964687</v>
      </c>
      <c r="L361" s="24">
        <f t="shared" si="5"/>
        <v>0.995361962</v>
      </c>
    </row>
    <row r="362">
      <c r="A362" s="7" t="s">
        <v>17</v>
      </c>
      <c r="B362" s="7" t="s">
        <v>40</v>
      </c>
      <c r="C362" s="7">
        <v>31.0</v>
      </c>
      <c r="D362" s="96">
        <v>0.87</v>
      </c>
      <c r="E362" s="74">
        <v>4.26</v>
      </c>
      <c r="F362" s="7">
        <v>0.016</v>
      </c>
      <c r="G362" s="23">
        <v>506.038462172</v>
      </c>
      <c r="H362" s="24">
        <f t="shared" si="49"/>
        <v>0.4896</v>
      </c>
      <c r="I362" s="25">
        <f t="shared" si="50"/>
        <v>0.3636363636</v>
      </c>
      <c r="J362" s="24">
        <f t="shared" si="51"/>
        <v>0.3103944377</v>
      </c>
      <c r="K362" s="24">
        <f t="shared" si="52"/>
        <v>0.4421810589</v>
      </c>
      <c r="L362" s="24">
        <f t="shared" si="5"/>
        <v>0.960955921</v>
      </c>
    </row>
    <row r="363">
      <c r="A363" s="7" t="s">
        <v>17</v>
      </c>
      <c r="B363" s="7" t="s">
        <v>40</v>
      </c>
      <c r="C363" s="7">
        <v>32.0</v>
      </c>
      <c r="D363" s="96">
        <v>0.87</v>
      </c>
      <c r="E363" s="74">
        <v>4.18</v>
      </c>
      <c r="F363" s="7">
        <v>0.016</v>
      </c>
      <c r="G363" s="23">
        <v>497.428790778001</v>
      </c>
      <c r="H363" s="24">
        <f t="shared" si="49"/>
        <v>0.4896</v>
      </c>
      <c r="I363" s="25">
        <f t="shared" si="50"/>
        <v>0.3636363636</v>
      </c>
      <c r="J363" s="24">
        <f t="shared" si="51"/>
        <v>0.2865291675</v>
      </c>
      <c r="K363" s="24">
        <f t="shared" si="52"/>
        <v>0.4503835705</v>
      </c>
      <c r="L363" s="24">
        <f t="shared" si="5"/>
        <v>0.9434547229</v>
      </c>
    </row>
    <row r="364">
      <c r="A364" s="7" t="s">
        <v>17</v>
      </c>
      <c r="B364" s="7" t="s">
        <v>40</v>
      </c>
      <c r="C364" s="7">
        <v>33.0</v>
      </c>
      <c r="D364" s="96">
        <v>0.87</v>
      </c>
      <c r="E364" s="74">
        <v>3.45</v>
      </c>
      <c r="F364" s="7">
        <v>0.013</v>
      </c>
      <c r="G364" s="23">
        <v>412.213454008</v>
      </c>
      <c r="H364" s="24">
        <f t="shared" si="49"/>
        <v>0.3978</v>
      </c>
      <c r="I364" s="25">
        <f t="shared" si="50"/>
        <v>0.09090909091</v>
      </c>
      <c r="J364" s="24">
        <f t="shared" si="51"/>
        <v>0.05031956773</v>
      </c>
      <c r="K364" s="24">
        <f t="shared" si="52"/>
        <v>0.689589647</v>
      </c>
      <c r="L364" s="24">
        <f t="shared" si="5"/>
        <v>0.9627929371</v>
      </c>
    </row>
    <row r="365">
      <c r="A365" s="58" t="s">
        <v>17</v>
      </c>
      <c r="B365" s="58" t="s">
        <v>54</v>
      </c>
      <c r="C365" s="7">
        <v>1.0</v>
      </c>
      <c r="D365" s="96">
        <v>0.93</v>
      </c>
      <c r="E365" s="74">
        <v>3.33</v>
      </c>
      <c r="F365" s="7">
        <v>0.01</v>
      </c>
      <c r="G365" s="23">
        <v>303.768908413999</v>
      </c>
      <c r="H365" s="24">
        <f t="shared" ref="H365:H397" si="53">F365*472/5</f>
        <v>0.944</v>
      </c>
      <c r="I365" s="25">
        <f t="shared" ref="I365:I397" si="54">(H365-MIN($H$365:$H$397))/(MAX($H$365:$H$397)-MIN($H$365:$H$397))</f>
        <v>0.07692307692</v>
      </c>
      <c r="J365" s="24">
        <f t="shared" ref="J365:J397" si="55">(G365-MIN($G$365:$G$397))/(MAX($G$365:$G$397)-MIN($G$365:$G$397))</f>
        <v>0.08157892052</v>
      </c>
      <c r="K365" s="24">
        <f t="shared" ref="K365:K397" si="56">0.93*(1/(1+I365))*(1/(1+J365))*(1-0.0472)</f>
        <v>0.7607497165</v>
      </c>
      <c r="L365" s="24">
        <f t="shared" si="5"/>
        <v>1.004323283</v>
      </c>
    </row>
    <row r="366">
      <c r="A366" s="7" t="s">
        <v>17</v>
      </c>
      <c r="B366" s="7" t="s">
        <v>54</v>
      </c>
      <c r="C366" s="7">
        <v>2.0</v>
      </c>
      <c r="D366" s="96">
        <v>0.93</v>
      </c>
      <c r="E366" s="74">
        <v>3.47</v>
      </c>
      <c r="F366" s="7">
        <v>0.01</v>
      </c>
      <c r="G366" s="23">
        <v>309.201920670999</v>
      </c>
      <c r="H366" s="24">
        <f t="shared" si="53"/>
        <v>0.944</v>
      </c>
      <c r="I366" s="25">
        <f t="shared" si="54"/>
        <v>0.07692307692</v>
      </c>
      <c r="J366" s="24">
        <f t="shared" si="55"/>
        <v>0.09419945324</v>
      </c>
      <c r="K366" s="24">
        <f t="shared" si="56"/>
        <v>0.7519752041</v>
      </c>
      <c r="L366" s="24">
        <f t="shared" si="5"/>
        <v>1.016042349</v>
      </c>
    </row>
    <row r="367">
      <c r="A367" s="7" t="s">
        <v>17</v>
      </c>
      <c r="B367" s="7" t="s">
        <v>54</v>
      </c>
      <c r="C367" s="7">
        <v>3.0</v>
      </c>
      <c r="D367" s="96">
        <v>0.93</v>
      </c>
      <c r="E367" s="74">
        <v>3.22</v>
      </c>
      <c r="F367" s="7">
        <v>0.009</v>
      </c>
      <c r="G367" s="23">
        <v>286.428409275</v>
      </c>
      <c r="H367" s="24">
        <f t="shared" si="53"/>
        <v>0.8496</v>
      </c>
      <c r="I367" s="25">
        <f t="shared" si="54"/>
        <v>0</v>
      </c>
      <c r="J367" s="24">
        <f t="shared" si="55"/>
        <v>0.0412980733</v>
      </c>
      <c r="K367" s="24">
        <f t="shared" si="56"/>
        <v>0.8509609522</v>
      </c>
      <c r="L367" s="24">
        <f t="shared" si="5"/>
        <v>1.041298073</v>
      </c>
    </row>
    <row r="368">
      <c r="A368" s="7" t="s">
        <v>17</v>
      </c>
      <c r="B368" s="7" t="s">
        <v>54</v>
      </c>
      <c r="C368" s="7">
        <v>4.0</v>
      </c>
      <c r="D368" s="96">
        <v>0.93</v>
      </c>
      <c r="E368" s="74">
        <v>4.14</v>
      </c>
      <c r="F368" s="7">
        <v>0.012</v>
      </c>
      <c r="G368" s="23">
        <v>368.873031877999</v>
      </c>
      <c r="H368" s="24">
        <f t="shared" si="53"/>
        <v>1.1328</v>
      </c>
      <c r="I368" s="25">
        <f t="shared" si="54"/>
        <v>0.2307692308</v>
      </c>
      <c r="J368" s="24">
        <f t="shared" si="55"/>
        <v>0.2328115483</v>
      </c>
      <c r="K368" s="24">
        <f t="shared" si="56"/>
        <v>0.5839980174</v>
      </c>
      <c r="L368" s="24">
        <f t="shared" si="5"/>
        <v>1.001659383</v>
      </c>
    </row>
    <row r="369">
      <c r="A369" s="7" t="s">
        <v>17</v>
      </c>
      <c r="B369" s="7" t="s">
        <v>54</v>
      </c>
      <c r="C369" s="7">
        <v>5.0</v>
      </c>
      <c r="D369" s="96">
        <v>0.93</v>
      </c>
      <c r="E369" s="74">
        <v>3.52</v>
      </c>
      <c r="F369" s="7">
        <v>0.01</v>
      </c>
      <c r="G369" s="23">
        <v>314.059292037</v>
      </c>
      <c r="H369" s="24">
        <f t="shared" si="53"/>
        <v>0.944</v>
      </c>
      <c r="I369" s="25">
        <f t="shared" si="54"/>
        <v>0.07692307692</v>
      </c>
      <c r="J369" s="24">
        <f t="shared" si="55"/>
        <v>0.1054828097</v>
      </c>
      <c r="K369" s="24">
        <f t="shared" si="56"/>
        <v>0.7443000017</v>
      </c>
      <c r="L369" s="24">
        <f t="shared" si="5"/>
        <v>1.026519752</v>
      </c>
    </row>
    <row r="370">
      <c r="A370" s="7" t="s">
        <v>17</v>
      </c>
      <c r="B370" s="7" t="s">
        <v>54</v>
      </c>
      <c r="C370" s="7">
        <v>6.0</v>
      </c>
      <c r="D370" s="96">
        <v>0.93</v>
      </c>
      <c r="E370" s="74">
        <v>4.85</v>
      </c>
      <c r="F370" s="7">
        <v>0.014</v>
      </c>
      <c r="G370" s="23">
        <v>430.142677985999</v>
      </c>
      <c r="H370" s="24">
        <f t="shared" si="53"/>
        <v>1.3216</v>
      </c>
      <c r="I370" s="25">
        <f t="shared" si="54"/>
        <v>0.3846153846</v>
      </c>
      <c r="J370" s="24">
        <f t="shared" si="55"/>
        <v>0.3751369355</v>
      </c>
      <c r="K370" s="24">
        <f t="shared" si="56"/>
        <v>0.4653820165</v>
      </c>
      <c r="L370" s="24">
        <f t="shared" si="5"/>
        <v>0.9931544534</v>
      </c>
    </row>
    <row r="371">
      <c r="A371" s="7" t="s">
        <v>17</v>
      </c>
      <c r="B371" s="7" t="s">
        <v>54</v>
      </c>
      <c r="C371" s="7">
        <v>7.0</v>
      </c>
      <c r="D371" s="96">
        <v>0.93</v>
      </c>
      <c r="E371" s="74">
        <v>3.41</v>
      </c>
      <c r="F371" s="7">
        <v>0.01</v>
      </c>
      <c r="G371" s="23">
        <v>304.449036017</v>
      </c>
      <c r="H371" s="24">
        <f t="shared" si="53"/>
        <v>0.944</v>
      </c>
      <c r="I371" s="25">
        <f t="shared" si="54"/>
        <v>0.07692307692</v>
      </c>
      <c r="J371" s="24">
        <f t="shared" si="55"/>
        <v>0.08315881253</v>
      </c>
      <c r="K371" s="24">
        <f t="shared" si="56"/>
        <v>0.7596400894</v>
      </c>
      <c r="L371" s="24">
        <f t="shared" si="5"/>
        <v>1.005790326</v>
      </c>
    </row>
    <row r="372">
      <c r="A372" s="7" t="s">
        <v>17</v>
      </c>
      <c r="B372" s="7" t="s">
        <v>54</v>
      </c>
      <c r="C372" s="7">
        <v>8.0</v>
      </c>
      <c r="D372" s="96">
        <v>0.93</v>
      </c>
      <c r="E372" s="74">
        <v>4.0</v>
      </c>
      <c r="F372" s="7">
        <v>0.011</v>
      </c>
      <c r="G372" s="23">
        <v>355.674263536</v>
      </c>
      <c r="H372" s="24">
        <f t="shared" si="53"/>
        <v>1.0384</v>
      </c>
      <c r="I372" s="25">
        <f t="shared" si="54"/>
        <v>0.1538461538</v>
      </c>
      <c r="J372" s="24">
        <f t="shared" si="55"/>
        <v>0.2021516712</v>
      </c>
      <c r="K372" s="24">
        <f t="shared" si="56"/>
        <v>0.6388185604</v>
      </c>
      <c r="L372" s="24">
        <f t="shared" si="5"/>
        <v>1.041864782</v>
      </c>
    </row>
    <row r="373">
      <c r="A373" s="7" t="s">
        <v>17</v>
      </c>
      <c r="B373" s="7" t="s">
        <v>54</v>
      </c>
      <c r="C373" s="7">
        <v>9.0</v>
      </c>
      <c r="D373" s="96">
        <v>0.93</v>
      </c>
      <c r="E373" s="74">
        <v>3.33</v>
      </c>
      <c r="F373" s="7">
        <v>0.01</v>
      </c>
      <c r="G373" s="23">
        <v>297.429959721</v>
      </c>
      <c r="H373" s="24">
        <f t="shared" si="53"/>
        <v>0.944</v>
      </c>
      <c r="I373" s="25">
        <f t="shared" si="54"/>
        <v>0.07692307692</v>
      </c>
      <c r="J373" s="24">
        <f t="shared" si="55"/>
        <v>0.06685395662</v>
      </c>
      <c r="K373" s="24">
        <f t="shared" si="56"/>
        <v>0.7712497592</v>
      </c>
      <c r="L373" s="24">
        <f t="shared" si="5"/>
        <v>0.9906501026</v>
      </c>
    </row>
    <row r="374">
      <c r="A374" s="7" t="s">
        <v>17</v>
      </c>
      <c r="B374" s="7" t="s">
        <v>54</v>
      </c>
      <c r="C374" s="7">
        <v>10.0</v>
      </c>
      <c r="D374" s="96">
        <v>0.93</v>
      </c>
      <c r="E374" s="74">
        <v>3.23</v>
      </c>
      <c r="F374" s="7">
        <v>0.009</v>
      </c>
      <c r="G374" s="23">
        <v>288.542846706</v>
      </c>
      <c r="H374" s="24">
        <f t="shared" si="53"/>
        <v>0.8496</v>
      </c>
      <c r="I374" s="25">
        <f t="shared" si="54"/>
        <v>0</v>
      </c>
      <c r="J374" s="24">
        <f t="shared" si="55"/>
        <v>0.04620977338</v>
      </c>
      <c r="K374" s="24">
        <f t="shared" si="56"/>
        <v>0.8469658978</v>
      </c>
      <c r="L374" s="24">
        <f t="shared" si="5"/>
        <v>1.046209773</v>
      </c>
    </row>
    <row r="375">
      <c r="A375" s="7" t="s">
        <v>17</v>
      </c>
      <c r="B375" s="7" t="s">
        <v>54</v>
      </c>
      <c r="C375" s="7">
        <v>11.0</v>
      </c>
      <c r="D375" s="96">
        <v>0.93</v>
      </c>
      <c r="E375" s="74">
        <v>3.01</v>
      </c>
      <c r="F375" s="7">
        <v>0.009</v>
      </c>
      <c r="G375" s="23">
        <v>268.650004555</v>
      </c>
      <c r="H375" s="24">
        <f t="shared" si="53"/>
        <v>0.8496</v>
      </c>
      <c r="I375" s="25">
        <f t="shared" si="54"/>
        <v>0</v>
      </c>
      <c r="J375" s="24">
        <f t="shared" si="55"/>
        <v>0</v>
      </c>
      <c r="K375" s="24">
        <f t="shared" si="56"/>
        <v>0.886104</v>
      </c>
      <c r="L375" s="24">
        <f t="shared" si="5"/>
        <v>1</v>
      </c>
    </row>
    <row r="376">
      <c r="A376" s="7" t="s">
        <v>17</v>
      </c>
      <c r="B376" s="7" t="s">
        <v>54</v>
      </c>
      <c r="C376" s="7">
        <v>12.0</v>
      </c>
      <c r="D376" s="96">
        <v>0.93</v>
      </c>
      <c r="E376" s="74">
        <v>3.93</v>
      </c>
      <c r="F376" s="7">
        <v>0.011</v>
      </c>
      <c r="G376" s="23">
        <v>350.104873860999</v>
      </c>
      <c r="H376" s="24">
        <f t="shared" si="53"/>
        <v>1.0384</v>
      </c>
      <c r="I376" s="25">
        <f t="shared" si="54"/>
        <v>0.1538461538</v>
      </c>
      <c r="J376" s="24">
        <f t="shared" si="55"/>
        <v>0.1892143427</v>
      </c>
      <c r="K376" s="24">
        <f t="shared" si="56"/>
        <v>0.6457681954</v>
      </c>
      <c r="L376" s="24">
        <f t="shared" si="5"/>
        <v>1.03065243</v>
      </c>
    </row>
    <row r="377">
      <c r="A377" s="7" t="s">
        <v>17</v>
      </c>
      <c r="B377" s="7" t="s">
        <v>54</v>
      </c>
      <c r="C377" s="7">
        <v>13.0</v>
      </c>
      <c r="D377" s="96">
        <v>0.93</v>
      </c>
      <c r="E377" s="74">
        <v>3.24</v>
      </c>
      <c r="F377" s="7">
        <v>0.009</v>
      </c>
      <c r="G377" s="23">
        <v>288.721468423999</v>
      </c>
      <c r="H377" s="24">
        <f t="shared" si="53"/>
        <v>0.8496</v>
      </c>
      <c r="I377" s="25">
        <f t="shared" si="54"/>
        <v>0</v>
      </c>
      <c r="J377" s="24">
        <f t="shared" si="55"/>
        <v>0.04662469997</v>
      </c>
      <c r="K377" s="24">
        <f t="shared" si="56"/>
        <v>0.8466301245</v>
      </c>
      <c r="L377" s="24">
        <f t="shared" si="5"/>
        <v>1.0466247</v>
      </c>
    </row>
    <row r="378">
      <c r="A378" s="7" t="s">
        <v>17</v>
      </c>
      <c r="B378" s="7" t="s">
        <v>54</v>
      </c>
      <c r="C378" s="7">
        <v>14.0</v>
      </c>
      <c r="D378" s="96">
        <v>0.93</v>
      </c>
      <c r="E378" s="74">
        <v>3.6</v>
      </c>
      <c r="F378" s="7">
        <v>0.01</v>
      </c>
      <c r="G378" s="23">
        <v>321.521245766</v>
      </c>
      <c r="H378" s="24">
        <f t="shared" si="53"/>
        <v>0.944</v>
      </c>
      <c r="I378" s="25">
        <f t="shared" si="54"/>
        <v>0.07692307692</v>
      </c>
      <c r="J378" s="24">
        <f t="shared" si="55"/>
        <v>0.122816441</v>
      </c>
      <c r="K378" s="24">
        <f t="shared" si="56"/>
        <v>0.7328097693</v>
      </c>
      <c r="L378" s="24">
        <f t="shared" si="5"/>
        <v>1.042615267</v>
      </c>
    </row>
    <row r="379">
      <c r="A379" s="7" t="s">
        <v>17</v>
      </c>
      <c r="B379" s="7" t="s">
        <v>54</v>
      </c>
      <c r="C379" s="7">
        <v>15.0</v>
      </c>
      <c r="D379" s="96">
        <v>0.93</v>
      </c>
      <c r="E379" s="74">
        <v>3.98</v>
      </c>
      <c r="F379" s="7">
        <v>0.011</v>
      </c>
      <c r="G379" s="23">
        <v>354.285670256999</v>
      </c>
      <c r="H379" s="24">
        <f t="shared" si="53"/>
        <v>1.0384</v>
      </c>
      <c r="I379" s="25">
        <f t="shared" si="54"/>
        <v>0.1538461538</v>
      </c>
      <c r="J379" s="24">
        <f t="shared" si="55"/>
        <v>0.1989260597</v>
      </c>
      <c r="K379" s="24">
        <f t="shared" si="56"/>
        <v>0.640537249</v>
      </c>
      <c r="L379" s="24">
        <f t="shared" si="5"/>
        <v>1.039069252</v>
      </c>
    </row>
    <row r="380">
      <c r="A380" s="7" t="s">
        <v>17</v>
      </c>
      <c r="B380" s="7" t="s">
        <v>54</v>
      </c>
      <c r="C380" s="7">
        <v>16.0</v>
      </c>
      <c r="D380" s="96">
        <v>0.93</v>
      </c>
      <c r="E380" s="74">
        <v>7.74</v>
      </c>
      <c r="F380" s="7">
        <v>0.022</v>
      </c>
      <c r="G380" s="23">
        <v>699.139935471</v>
      </c>
      <c r="H380" s="24">
        <f t="shared" si="53"/>
        <v>2.0768</v>
      </c>
      <c r="I380" s="25">
        <f t="shared" si="54"/>
        <v>1</v>
      </c>
      <c r="J380" s="24">
        <f t="shared" si="55"/>
        <v>1</v>
      </c>
      <c r="K380" s="24">
        <f t="shared" si="56"/>
        <v>0.221526</v>
      </c>
      <c r="L380" s="24">
        <f t="shared" si="5"/>
        <v>1</v>
      </c>
    </row>
    <row r="381">
      <c r="A381" s="7" t="s">
        <v>17</v>
      </c>
      <c r="B381" s="7" t="s">
        <v>54</v>
      </c>
      <c r="C381" s="7">
        <v>17.0</v>
      </c>
      <c r="D381" s="96">
        <v>0.93</v>
      </c>
      <c r="E381" s="74">
        <v>5.22</v>
      </c>
      <c r="F381" s="7">
        <v>0.015</v>
      </c>
      <c r="G381" s="23">
        <v>461.394049237</v>
      </c>
      <c r="H381" s="24">
        <f t="shared" si="53"/>
        <v>1.416</v>
      </c>
      <c r="I381" s="25">
        <f t="shared" si="54"/>
        <v>0.4615384615</v>
      </c>
      <c r="J381" s="24">
        <f t="shared" si="55"/>
        <v>0.4477318303</v>
      </c>
      <c r="K381" s="24">
        <f t="shared" si="56"/>
        <v>0.4187803788</v>
      </c>
      <c r="L381" s="24">
        <f t="shared" si="5"/>
        <v>0.9905533576</v>
      </c>
    </row>
    <row r="382">
      <c r="A382" s="7" t="s">
        <v>17</v>
      </c>
      <c r="B382" s="7" t="s">
        <v>54</v>
      </c>
      <c r="C382" s="7">
        <v>18.0</v>
      </c>
      <c r="D382" s="96">
        <v>0.93</v>
      </c>
      <c r="E382" s="74">
        <v>3.86</v>
      </c>
      <c r="F382" s="7">
        <v>0.011</v>
      </c>
      <c r="G382" s="23">
        <v>343.439018893</v>
      </c>
      <c r="H382" s="24">
        <f t="shared" si="53"/>
        <v>1.0384</v>
      </c>
      <c r="I382" s="25">
        <f t="shared" si="54"/>
        <v>0.1538461538</v>
      </c>
      <c r="J382" s="24">
        <f t="shared" si="55"/>
        <v>0.1737299968</v>
      </c>
      <c r="K382" s="24">
        <f t="shared" si="56"/>
        <v>0.6542874444</v>
      </c>
      <c r="L382" s="24">
        <f t="shared" si="5"/>
        <v>1.017232664</v>
      </c>
    </row>
    <row r="383">
      <c r="A383" s="7" t="s">
        <v>17</v>
      </c>
      <c r="B383" s="7" t="s">
        <v>54</v>
      </c>
      <c r="C383" s="7">
        <v>19.0</v>
      </c>
      <c r="D383" s="96">
        <v>0.93</v>
      </c>
      <c r="E383" s="74">
        <v>3.98</v>
      </c>
      <c r="F383" s="7">
        <v>0.011</v>
      </c>
      <c r="G383" s="23">
        <v>353.767832259</v>
      </c>
      <c r="H383" s="24">
        <f t="shared" si="53"/>
        <v>1.0384</v>
      </c>
      <c r="I383" s="25">
        <f t="shared" si="54"/>
        <v>0.1538461538</v>
      </c>
      <c r="J383" s="24">
        <f t="shared" si="55"/>
        <v>0.1977231559</v>
      </c>
      <c r="K383" s="24">
        <f t="shared" si="56"/>
        <v>0.6411805568</v>
      </c>
      <c r="L383" s="24">
        <f t="shared" si="5"/>
        <v>1.038026735</v>
      </c>
    </row>
    <row r="384">
      <c r="A384" s="7" t="s">
        <v>17</v>
      </c>
      <c r="B384" s="7" t="s">
        <v>54</v>
      </c>
      <c r="C384" s="7">
        <v>20.0</v>
      </c>
      <c r="D384" s="96">
        <v>0.93</v>
      </c>
      <c r="E384" s="74">
        <v>4.09</v>
      </c>
      <c r="F384" s="7">
        <v>0.012</v>
      </c>
      <c r="G384" s="23">
        <v>363.629253913</v>
      </c>
      <c r="H384" s="24">
        <f t="shared" si="53"/>
        <v>1.1328</v>
      </c>
      <c r="I384" s="25">
        <f t="shared" si="54"/>
        <v>0.2307692308</v>
      </c>
      <c r="J384" s="24">
        <f t="shared" si="55"/>
        <v>0.2206305944</v>
      </c>
      <c r="K384" s="24">
        <f t="shared" si="56"/>
        <v>0.5898258681</v>
      </c>
      <c r="L384" s="24">
        <f t="shared" si="5"/>
        <v>0.991762358</v>
      </c>
    </row>
    <row r="385">
      <c r="A385" s="7" t="s">
        <v>17</v>
      </c>
      <c r="B385" s="7" t="s">
        <v>54</v>
      </c>
      <c r="C385" s="7">
        <v>21.0</v>
      </c>
      <c r="D385" s="96">
        <v>0.93</v>
      </c>
      <c r="E385" s="74">
        <v>3.96</v>
      </c>
      <c r="F385" s="7">
        <v>0.011</v>
      </c>
      <c r="G385" s="23">
        <v>353.482838171999</v>
      </c>
      <c r="H385" s="24">
        <f t="shared" si="53"/>
        <v>1.0384</v>
      </c>
      <c r="I385" s="25">
        <f t="shared" si="54"/>
        <v>0.1538461538</v>
      </c>
      <c r="J385" s="24">
        <f t="shared" si="55"/>
        <v>0.1970611332</v>
      </c>
      <c r="K385" s="24">
        <f t="shared" si="56"/>
        <v>0.6415351553</v>
      </c>
      <c r="L385" s="24">
        <f t="shared" si="5"/>
        <v>1.037452982</v>
      </c>
    </row>
    <row r="386">
      <c r="A386" s="7" t="s">
        <v>17</v>
      </c>
      <c r="B386" s="7" t="s">
        <v>54</v>
      </c>
      <c r="C386" s="7">
        <v>22.0</v>
      </c>
      <c r="D386" s="96">
        <v>0.93</v>
      </c>
      <c r="E386" s="74">
        <v>3.78</v>
      </c>
      <c r="F386" s="7">
        <v>0.011</v>
      </c>
      <c r="G386" s="23">
        <v>334.877798284</v>
      </c>
      <c r="H386" s="24">
        <f t="shared" si="53"/>
        <v>1.0384</v>
      </c>
      <c r="I386" s="25">
        <f t="shared" si="54"/>
        <v>0.1538461538</v>
      </c>
      <c r="J386" s="24">
        <f t="shared" si="55"/>
        <v>0.1538428404</v>
      </c>
      <c r="K386" s="24">
        <f t="shared" si="56"/>
        <v>0.6655644713</v>
      </c>
      <c r="L386" s="24">
        <f t="shared" si="5"/>
        <v>0.9999971283</v>
      </c>
    </row>
    <row r="387">
      <c r="A387" s="7" t="s">
        <v>17</v>
      </c>
      <c r="B387" s="7" t="s">
        <v>54</v>
      </c>
      <c r="C387" s="7">
        <v>23.0</v>
      </c>
      <c r="D387" s="96">
        <v>0.93</v>
      </c>
      <c r="E387" s="74">
        <v>4.34</v>
      </c>
      <c r="F387" s="7">
        <v>0.012</v>
      </c>
      <c r="G387" s="23">
        <v>385.992930167</v>
      </c>
      <c r="H387" s="24">
        <f t="shared" si="53"/>
        <v>1.1328</v>
      </c>
      <c r="I387" s="25">
        <f t="shared" si="54"/>
        <v>0.2307692308</v>
      </c>
      <c r="J387" s="24">
        <f t="shared" si="55"/>
        <v>0.2725799541</v>
      </c>
      <c r="K387" s="24">
        <f t="shared" si="56"/>
        <v>0.5657479498</v>
      </c>
      <c r="L387" s="24">
        <f t="shared" si="5"/>
        <v>1.033971213</v>
      </c>
    </row>
    <row r="388">
      <c r="A388" s="7" t="s">
        <v>17</v>
      </c>
      <c r="B388" s="7" t="s">
        <v>54</v>
      </c>
      <c r="C388" s="7">
        <v>24.0</v>
      </c>
      <c r="D388" s="96">
        <v>0.93</v>
      </c>
      <c r="E388" s="74">
        <v>4.25</v>
      </c>
      <c r="F388" s="7">
        <v>0.012</v>
      </c>
      <c r="G388" s="23">
        <v>377.115714708999</v>
      </c>
      <c r="H388" s="24">
        <f t="shared" si="53"/>
        <v>1.1328</v>
      </c>
      <c r="I388" s="25">
        <f t="shared" si="54"/>
        <v>0.2307692308</v>
      </c>
      <c r="J388" s="24">
        <f t="shared" si="55"/>
        <v>0.2519587622</v>
      </c>
      <c r="K388" s="24">
        <f t="shared" si="56"/>
        <v>0.5750664652</v>
      </c>
      <c r="L388" s="24">
        <f t="shared" si="5"/>
        <v>1.017216494</v>
      </c>
    </row>
    <row r="389">
      <c r="A389" s="7" t="s">
        <v>17</v>
      </c>
      <c r="B389" s="7" t="s">
        <v>54</v>
      </c>
      <c r="C389" s="7">
        <v>25.0</v>
      </c>
      <c r="D389" s="96">
        <v>0.93</v>
      </c>
      <c r="E389" s="74">
        <v>7.33</v>
      </c>
      <c r="F389" s="7">
        <v>0.021</v>
      </c>
      <c r="G389" s="23">
        <v>646.952135682999</v>
      </c>
      <c r="H389" s="24">
        <f t="shared" si="53"/>
        <v>1.9824</v>
      </c>
      <c r="I389" s="25">
        <f t="shared" si="54"/>
        <v>0.9230769231</v>
      </c>
      <c r="J389" s="24">
        <f t="shared" si="55"/>
        <v>0.8787711488</v>
      </c>
      <c r="K389" s="24">
        <f t="shared" si="56"/>
        <v>0.2452529039</v>
      </c>
      <c r="L389" s="24">
        <f t="shared" si="5"/>
        <v>0.9769609974</v>
      </c>
    </row>
    <row r="390">
      <c r="A390" s="7" t="s">
        <v>17</v>
      </c>
      <c r="B390" s="7" t="s">
        <v>54</v>
      </c>
      <c r="C390" s="7">
        <v>26.0</v>
      </c>
      <c r="D390" s="96">
        <v>0.93</v>
      </c>
      <c r="E390" s="74">
        <v>5.03</v>
      </c>
      <c r="F390" s="7">
        <v>0.014</v>
      </c>
      <c r="G390" s="23">
        <v>443.767161519001</v>
      </c>
      <c r="H390" s="24">
        <f t="shared" si="53"/>
        <v>1.3216</v>
      </c>
      <c r="I390" s="25">
        <f t="shared" si="54"/>
        <v>0.3846153846</v>
      </c>
      <c r="J390" s="24">
        <f t="shared" si="55"/>
        <v>0.4067857211</v>
      </c>
      <c r="K390" s="24">
        <f t="shared" si="56"/>
        <v>0.454912209</v>
      </c>
      <c r="L390" s="24">
        <f t="shared" si="5"/>
        <v>1.01601191</v>
      </c>
    </row>
    <row r="391">
      <c r="A391" s="7" t="s">
        <v>17</v>
      </c>
      <c r="B391" s="7" t="s">
        <v>54</v>
      </c>
      <c r="C391" s="7">
        <v>27.0</v>
      </c>
      <c r="D391" s="96">
        <v>0.93</v>
      </c>
      <c r="E391" s="74">
        <v>3.71</v>
      </c>
      <c r="F391" s="7">
        <v>0.011</v>
      </c>
      <c r="G391" s="23">
        <v>329.77716831</v>
      </c>
      <c r="H391" s="24">
        <f t="shared" si="53"/>
        <v>1.0384</v>
      </c>
      <c r="I391" s="25">
        <f t="shared" si="54"/>
        <v>0.1538461538</v>
      </c>
      <c r="J391" s="24">
        <f t="shared" si="55"/>
        <v>0.14199441</v>
      </c>
      <c r="K391" s="24">
        <f t="shared" si="56"/>
        <v>0.6724698416</v>
      </c>
      <c r="L391" s="24">
        <f t="shared" si="5"/>
        <v>0.9897284887</v>
      </c>
    </row>
    <row r="392">
      <c r="A392" s="7" t="s">
        <v>17</v>
      </c>
      <c r="B392" s="7" t="s">
        <v>54</v>
      </c>
      <c r="C392" s="7">
        <v>28.0</v>
      </c>
      <c r="D392" s="96">
        <v>0.93</v>
      </c>
      <c r="E392" s="74">
        <v>3.79</v>
      </c>
      <c r="F392" s="7">
        <v>0.011</v>
      </c>
      <c r="G392" s="23">
        <v>336.787368556</v>
      </c>
      <c r="H392" s="24">
        <f t="shared" si="53"/>
        <v>1.0384</v>
      </c>
      <c r="I392" s="25">
        <f t="shared" si="54"/>
        <v>0.1538461538</v>
      </c>
      <c r="J392" s="24">
        <f t="shared" si="55"/>
        <v>0.1582786474</v>
      </c>
      <c r="K392" s="24">
        <f t="shared" si="56"/>
        <v>0.6630155893</v>
      </c>
      <c r="L392" s="24">
        <f t="shared" si="5"/>
        <v>1.003841494</v>
      </c>
    </row>
    <row r="393">
      <c r="A393" s="7" t="s">
        <v>17</v>
      </c>
      <c r="B393" s="7" t="s">
        <v>54</v>
      </c>
      <c r="C393" s="7">
        <v>29.0</v>
      </c>
      <c r="D393" s="96">
        <v>0.93</v>
      </c>
      <c r="E393" s="74">
        <v>4.17</v>
      </c>
      <c r="F393" s="7">
        <v>0.012</v>
      </c>
      <c r="G393" s="23">
        <v>369.104453957001</v>
      </c>
      <c r="H393" s="24">
        <f t="shared" si="53"/>
        <v>1.1328</v>
      </c>
      <c r="I393" s="25">
        <f t="shared" si="54"/>
        <v>0.2307692308</v>
      </c>
      <c r="J393" s="24">
        <f t="shared" si="55"/>
        <v>0.2333491266</v>
      </c>
      <c r="K393" s="24">
        <f t="shared" si="56"/>
        <v>0.5837434709</v>
      </c>
      <c r="L393" s="24">
        <f t="shared" si="5"/>
        <v>1.002096165</v>
      </c>
    </row>
    <row r="394">
      <c r="A394" s="7" t="s">
        <v>17</v>
      </c>
      <c r="B394" s="7" t="s">
        <v>54</v>
      </c>
      <c r="C394" s="7">
        <v>30.0</v>
      </c>
      <c r="D394" s="96">
        <v>0.93</v>
      </c>
      <c r="E394" s="74">
        <v>3.77</v>
      </c>
      <c r="F394" s="7">
        <v>0.011</v>
      </c>
      <c r="G394" s="23">
        <v>334.775350533</v>
      </c>
      <c r="H394" s="24">
        <f t="shared" si="53"/>
        <v>1.0384</v>
      </c>
      <c r="I394" s="25">
        <f t="shared" si="54"/>
        <v>0.1538461538</v>
      </c>
      <c r="J394" s="24">
        <f t="shared" si="55"/>
        <v>0.1536048609</v>
      </c>
      <c r="K394" s="24">
        <f t="shared" si="56"/>
        <v>0.6657017719</v>
      </c>
      <c r="L394" s="24">
        <f t="shared" si="5"/>
        <v>0.9997908795</v>
      </c>
    </row>
    <row r="395">
      <c r="A395" s="7" t="s">
        <v>17</v>
      </c>
      <c r="B395" s="7" t="s">
        <v>54</v>
      </c>
      <c r="C395" s="7">
        <v>31.0</v>
      </c>
      <c r="D395" s="96">
        <v>0.93</v>
      </c>
      <c r="E395" s="74">
        <v>4.18</v>
      </c>
      <c r="F395" s="7">
        <v>0.012</v>
      </c>
      <c r="G395" s="23">
        <v>370.152340347</v>
      </c>
      <c r="H395" s="24">
        <f t="shared" si="53"/>
        <v>1.1328</v>
      </c>
      <c r="I395" s="25">
        <f t="shared" si="54"/>
        <v>0.2307692308</v>
      </c>
      <c r="J395" s="24">
        <f t="shared" si="55"/>
        <v>0.2357832983</v>
      </c>
      <c r="K395" s="24">
        <f t="shared" si="56"/>
        <v>0.5825936481</v>
      </c>
      <c r="L395" s="24">
        <f t="shared" si="5"/>
        <v>1.00407393</v>
      </c>
    </row>
    <row r="396">
      <c r="A396" s="7" t="s">
        <v>17</v>
      </c>
      <c r="B396" s="7" t="s">
        <v>54</v>
      </c>
      <c r="C396" s="7">
        <v>32.0</v>
      </c>
      <c r="D396" s="96">
        <v>0.93</v>
      </c>
      <c r="E396" s="74">
        <v>4.65</v>
      </c>
      <c r="F396" s="7">
        <v>0.013</v>
      </c>
      <c r="G396" s="23">
        <v>412.681097929998</v>
      </c>
      <c r="H396" s="24">
        <f t="shared" si="53"/>
        <v>1.2272</v>
      </c>
      <c r="I396" s="25">
        <f t="shared" si="54"/>
        <v>0.3076923077</v>
      </c>
      <c r="J396" s="24">
        <f t="shared" si="55"/>
        <v>0.3345748252</v>
      </c>
      <c r="K396" s="24">
        <f t="shared" si="56"/>
        <v>0.5077339452</v>
      </c>
      <c r="L396" s="24">
        <f t="shared" si="5"/>
        <v>1.020557219</v>
      </c>
    </row>
    <row r="397">
      <c r="A397" s="7" t="s">
        <v>17</v>
      </c>
      <c r="B397" s="7" t="s">
        <v>54</v>
      </c>
      <c r="C397" s="7">
        <v>33.0</v>
      </c>
      <c r="D397" s="96">
        <v>0.93</v>
      </c>
      <c r="E397" s="74">
        <v>3.1</v>
      </c>
      <c r="F397" s="7">
        <v>0.009</v>
      </c>
      <c r="G397" s="23">
        <v>275.433775658999</v>
      </c>
      <c r="H397" s="24">
        <f t="shared" si="53"/>
        <v>0.8496</v>
      </c>
      <c r="I397" s="25">
        <f t="shared" si="54"/>
        <v>0</v>
      </c>
      <c r="J397" s="24">
        <f t="shared" si="55"/>
        <v>0.01575825732</v>
      </c>
      <c r="K397" s="24">
        <f t="shared" si="56"/>
        <v>0.8723571712</v>
      </c>
      <c r="L397" s="24">
        <f t="shared" si="5"/>
        <v>1.015758257</v>
      </c>
    </row>
    <row r="398">
      <c r="A398" s="57" t="s">
        <v>18</v>
      </c>
      <c r="B398" s="58" t="s">
        <v>20</v>
      </c>
      <c r="C398" s="7">
        <v>1.0</v>
      </c>
      <c r="D398" s="96">
        <v>0.93</v>
      </c>
      <c r="E398" s="22">
        <v>2.73</v>
      </c>
      <c r="F398" s="7">
        <v>0.006</v>
      </c>
      <c r="G398" s="23">
        <v>249.395219669</v>
      </c>
      <c r="H398" s="24">
        <f t="shared" ref="H398:H430" si="57">F398*477/5</f>
        <v>0.5724</v>
      </c>
      <c r="I398" s="25">
        <f t="shared" ref="I398:I430" si="58">(H398-MIN($H$398:$H$430))/(MAX($H$398:$H$430)-MIN($H$398:$H$430))</f>
        <v>0.4</v>
      </c>
      <c r="J398" s="24">
        <f t="shared" ref="J398:J430" si="59">(G398-MIN($G$398:$G$430))/(MAX($G$398:$G$430)-MIN($G$398:$G$430))</f>
        <v>0.3235281163</v>
      </c>
      <c r="K398" s="24">
        <f t="shared" ref="K398:K430" si="60">0.93*(1/(1+I398))*(1/(1+J398))*(1-0.0477)</f>
        <v>0.4779643726</v>
      </c>
      <c r="L398" s="24">
        <f t="shared" si="5"/>
        <v>0.945377226</v>
      </c>
    </row>
    <row r="399">
      <c r="A399" s="20" t="s">
        <v>18</v>
      </c>
      <c r="B399" s="7" t="s">
        <v>20</v>
      </c>
      <c r="C399" s="7">
        <v>2.0</v>
      </c>
      <c r="D399" s="96">
        <v>0.93</v>
      </c>
      <c r="E399" s="33">
        <v>2.95</v>
      </c>
      <c r="F399" s="7">
        <v>0.006</v>
      </c>
      <c r="G399" s="23">
        <v>261.925408550999</v>
      </c>
      <c r="H399" s="24">
        <f t="shared" si="57"/>
        <v>0.5724</v>
      </c>
      <c r="I399" s="25">
        <f t="shared" si="58"/>
        <v>0.4</v>
      </c>
      <c r="J399" s="24">
        <f t="shared" si="59"/>
        <v>0.3830786517</v>
      </c>
      <c r="K399" s="24">
        <f t="shared" si="60"/>
        <v>0.4573848963</v>
      </c>
      <c r="L399" s="24">
        <f t="shared" si="5"/>
        <v>0.9879133226</v>
      </c>
    </row>
    <row r="400">
      <c r="A400" s="20" t="s">
        <v>18</v>
      </c>
      <c r="B400" s="7" t="s">
        <v>20</v>
      </c>
      <c r="C400" s="7">
        <v>3.0</v>
      </c>
      <c r="D400" s="96">
        <v>0.93</v>
      </c>
      <c r="E400" s="22">
        <v>2.04</v>
      </c>
      <c r="F400" s="7">
        <v>0.004</v>
      </c>
      <c r="G400" s="23">
        <v>181.320795426</v>
      </c>
      <c r="H400" s="24">
        <f t="shared" si="57"/>
        <v>0.3816</v>
      </c>
      <c r="I400" s="25">
        <f t="shared" si="58"/>
        <v>0</v>
      </c>
      <c r="J400" s="24">
        <f t="shared" si="59"/>
        <v>0</v>
      </c>
      <c r="K400" s="24">
        <f t="shared" si="60"/>
        <v>0.885639</v>
      </c>
      <c r="L400" s="24">
        <f t="shared" si="5"/>
        <v>1</v>
      </c>
    </row>
    <row r="401">
      <c r="A401" s="20" t="s">
        <v>18</v>
      </c>
      <c r="B401" s="7" t="s">
        <v>20</v>
      </c>
      <c r="C401" s="7">
        <v>4.0</v>
      </c>
      <c r="D401" s="96">
        <v>0.93</v>
      </c>
      <c r="E401" s="33">
        <v>3.57</v>
      </c>
      <c r="F401" s="7">
        <v>0.008</v>
      </c>
      <c r="G401" s="23">
        <v>309.592387109999</v>
      </c>
      <c r="H401" s="24">
        <f t="shared" si="57"/>
        <v>0.7632</v>
      </c>
      <c r="I401" s="25">
        <f t="shared" si="58"/>
        <v>0.8</v>
      </c>
      <c r="J401" s="24">
        <f t="shared" si="59"/>
        <v>0.6096190588</v>
      </c>
      <c r="K401" s="24">
        <f t="shared" si="60"/>
        <v>0.3056758455</v>
      </c>
      <c r="L401" s="24">
        <f t="shared" si="5"/>
        <v>0.8942328105</v>
      </c>
    </row>
    <row r="402">
      <c r="A402" s="20" t="s">
        <v>18</v>
      </c>
      <c r="B402" s="7" t="s">
        <v>20</v>
      </c>
      <c r="C402" s="7">
        <v>5.0</v>
      </c>
      <c r="D402" s="96">
        <v>0.93</v>
      </c>
      <c r="E402" s="22">
        <v>3.36</v>
      </c>
      <c r="F402" s="7">
        <v>0.007</v>
      </c>
      <c r="G402" s="23">
        <v>294.225701637999</v>
      </c>
      <c r="H402" s="24">
        <f t="shared" si="57"/>
        <v>0.6678</v>
      </c>
      <c r="I402" s="25">
        <f t="shared" si="58"/>
        <v>0.6</v>
      </c>
      <c r="J402" s="24">
        <f t="shared" si="59"/>
        <v>0.5365878895</v>
      </c>
      <c r="K402" s="24">
        <f t="shared" si="60"/>
        <v>0.3602295572</v>
      </c>
      <c r="L402" s="24">
        <f t="shared" si="5"/>
        <v>0.9603674309</v>
      </c>
    </row>
    <row r="403">
      <c r="A403" s="20" t="s">
        <v>18</v>
      </c>
      <c r="B403" s="7" t="s">
        <v>20</v>
      </c>
      <c r="C403" s="7">
        <v>6.0</v>
      </c>
      <c r="D403" s="96">
        <v>0.93</v>
      </c>
      <c r="E403" s="33">
        <v>2.82</v>
      </c>
      <c r="F403" s="7">
        <v>0.006</v>
      </c>
      <c r="G403" s="23">
        <v>254.159074049</v>
      </c>
      <c r="H403" s="24">
        <f t="shared" si="57"/>
        <v>0.5724</v>
      </c>
      <c r="I403" s="25">
        <f t="shared" si="58"/>
        <v>0.4</v>
      </c>
      <c r="J403" s="24">
        <f t="shared" si="59"/>
        <v>0.3461686432</v>
      </c>
      <c r="K403" s="24">
        <f t="shared" si="60"/>
        <v>0.4699257325</v>
      </c>
      <c r="L403" s="24">
        <f t="shared" si="5"/>
        <v>0.9615490309</v>
      </c>
    </row>
    <row r="404">
      <c r="A404" s="20" t="s">
        <v>18</v>
      </c>
      <c r="B404" s="7" t="s">
        <v>20</v>
      </c>
      <c r="C404" s="7">
        <v>7.0</v>
      </c>
      <c r="D404" s="96">
        <v>0.93</v>
      </c>
      <c r="E404" s="22">
        <v>2.6</v>
      </c>
      <c r="F404" s="7">
        <v>0.006</v>
      </c>
      <c r="G404" s="23">
        <v>235.570674016999</v>
      </c>
      <c r="H404" s="24">
        <f t="shared" si="57"/>
        <v>0.5724</v>
      </c>
      <c r="I404" s="25">
        <f t="shared" si="58"/>
        <v>0.4</v>
      </c>
      <c r="J404" s="24">
        <f t="shared" si="59"/>
        <v>0.2578260665</v>
      </c>
      <c r="K404" s="24">
        <f t="shared" si="60"/>
        <v>0.5029306536</v>
      </c>
      <c r="L404" s="24">
        <f t="shared" si="5"/>
        <v>0.8984471904</v>
      </c>
    </row>
    <row r="405">
      <c r="A405" s="20" t="s">
        <v>18</v>
      </c>
      <c r="B405" s="7" t="s">
        <v>20</v>
      </c>
      <c r="C405" s="7">
        <v>8.0</v>
      </c>
      <c r="D405" s="96">
        <v>0.93</v>
      </c>
      <c r="E405" s="33">
        <v>2.01</v>
      </c>
      <c r="F405" s="7">
        <v>0.004</v>
      </c>
      <c r="G405" s="23">
        <v>182.449949272999</v>
      </c>
      <c r="H405" s="24">
        <f t="shared" si="57"/>
        <v>0.3816</v>
      </c>
      <c r="I405" s="25">
        <f t="shared" si="58"/>
        <v>0</v>
      </c>
      <c r="J405" s="24">
        <f t="shared" si="59"/>
        <v>0.005366376892</v>
      </c>
      <c r="K405" s="24">
        <f t="shared" si="60"/>
        <v>0.8809116958</v>
      </c>
      <c r="L405" s="24">
        <f t="shared" si="5"/>
        <v>1.005366377</v>
      </c>
    </row>
    <row r="406">
      <c r="A406" s="20" t="s">
        <v>18</v>
      </c>
      <c r="B406" s="7" t="s">
        <v>20</v>
      </c>
      <c r="C406" s="7">
        <v>9.0</v>
      </c>
      <c r="D406" s="96">
        <v>0.93</v>
      </c>
      <c r="E406" s="22">
        <v>2.61</v>
      </c>
      <c r="F406" s="7">
        <v>0.006</v>
      </c>
      <c r="G406" s="23">
        <v>235.938689086</v>
      </c>
      <c r="H406" s="24">
        <f t="shared" si="57"/>
        <v>0.5724</v>
      </c>
      <c r="I406" s="25">
        <f t="shared" si="58"/>
        <v>0.4</v>
      </c>
      <c r="J406" s="24">
        <f t="shared" si="59"/>
        <v>0.259575082</v>
      </c>
      <c r="K406" s="24">
        <f t="shared" si="60"/>
        <v>0.5022322962</v>
      </c>
      <c r="L406" s="24">
        <f t="shared" si="5"/>
        <v>0.8996964871</v>
      </c>
    </row>
    <row r="407">
      <c r="A407" s="20" t="s">
        <v>18</v>
      </c>
      <c r="B407" s="7" t="s">
        <v>20</v>
      </c>
      <c r="C407" s="7">
        <v>10.0</v>
      </c>
      <c r="D407" s="96">
        <v>0.93</v>
      </c>
      <c r="E407" s="33">
        <v>2.55</v>
      </c>
      <c r="F407" s="7">
        <v>0.005</v>
      </c>
      <c r="G407" s="23">
        <v>230.403458627999</v>
      </c>
      <c r="H407" s="24">
        <f t="shared" si="57"/>
        <v>0.477</v>
      </c>
      <c r="I407" s="25">
        <f t="shared" si="58"/>
        <v>0.2</v>
      </c>
      <c r="J407" s="24">
        <f t="shared" si="59"/>
        <v>0.2332685402</v>
      </c>
      <c r="K407" s="24">
        <f t="shared" si="60"/>
        <v>0.5984361685</v>
      </c>
      <c r="L407" s="24">
        <f t="shared" si="5"/>
        <v>1.027723784</v>
      </c>
    </row>
    <row r="408">
      <c r="A408" s="20" t="s">
        <v>18</v>
      </c>
      <c r="B408" s="7" t="s">
        <v>20</v>
      </c>
      <c r="C408" s="7">
        <v>11.0</v>
      </c>
      <c r="D408" s="96">
        <v>0.93</v>
      </c>
      <c r="E408" s="22">
        <v>2.2</v>
      </c>
      <c r="F408" s="7">
        <v>0.005</v>
      </c>
      <c r="G408" s="23">
        <v>199.216229640999</v>
      </c>
      <c r="H408" s="24">
        <f t="shared" si="57"/>
        <v>0.477</v>
      </c>
      <c r="I408" s="25">
        <f t="shared" si="58"/>
        <v>0.2</v>
      </c>
      <c r="J408" s="24">
        <f t="shared" si="59"/>
        <v>0.08504921176</v>
      </c>
      <c r="K408" s="24">
        <f t="shared" si="60"/>
        <v>0.680183435</v>
      </c>
      <c r="L408" s="24">
        <f t="shared" si="5"/>
        <v>0.9042076765</v>
      </c>
    </row>
    <row r="409">
      <c r="A409" s="20" t="s">
        <v>18</v>
      </c>
      <c r="B409" s="7" t="s">
        <v>20</v>
      </c>
      <c r="C409" s="7">
        <v>12.0</v>
      </c>
      <c r="D409" s="96">
        <v>0.93</v>
      </c>
      <c r="E409" s="33">
        <v>2.43</v>
      </c>
      <c r="F409" s="7">
        <v>0.005</v>
      </c>
      <c r="G409" s="23">
        <v>220.177275858</v>
      </c>
      <c r="H409" s="24">
        <f t="shared" si="57"/>
        <v>0.477</v>
      </c>
      <c r="I409" s="25">
        <f t="shared" si="58"/>
        <v>0.2</v>
      </c>
      <c r="J409" s="24">
        <f t="shared" si="59"/>
        <v>0.1846679434</v>
      </c>
      <c r="K409" s="24">
        <f t="shared" si="60"/>
        <v>0.6229868075</v>
      </c>
      <c r="L409" s="24">
        <f t="shared" si="5"/>
        <v>0.9872232861</v>
      </c>
    </row>
    <row r="410">
      <c r="A410" s="20" t="s">
        <v>18</v>
      </c>
      <c r="B410" s="7" t="s">
        <v>20</v>
      </c>
      <c r="C410" s="7">
        <v>13.0</v>
      </c>
      <c r="D410" s="96">
        <v>0.93</v>
      </c>
      <c r="E410" s="22">
        <v>2.09</v>
      </c>
      <c r="F410" s="7">
        <v>0.004</v>
      </c>
      <c r="G410" s="23">
        <v>189.638256652</v>
      </c>
      <c r="H410" s="24">
        <f t="shared" si="57"/>
        <v>0.3816</v>
      </c>
      <c r="I410" s="25">
        <f t="shared" si="58"/>
        <v>0</v>
      </c>
      <c r="J410" s="24">
        <f t="shared" si="59"/>
        <v>0.03952927392</v>
      </c>
      <c r="K410" s="24">
        <f t="shared" si="60"/>
        <v>0.8519615774</v>
      </c>
      <c r="L410" s="24">
        <f t="shared" si="5"/>
        <v>1.039529274</v>
      </c>
    </row>
    <row r="411">
      <c r="A411" s="20" t="s">
        <v>18</v>
      </c>
      <c r="B411" s="7" t="s">
        <v>20</v>
      </c>
      <c r="C411" s="7">
        <v>14.0</v>
      </c>
      <c r="D411" s="96">
        <v>0.93</v>
      </c>
      <c r="E411" s="33">
        <v>3.42</v>
      </c>
      <c r="F411" s="7">
        <v>0.007</v>
      </c>
      <c r="G411" s="23">
        <v>308.972110812</v>
      </c>
      <c r="H411" s="24">
        <f t="shared" si="57"/>
        <v>0.6678</v>
      </c>
      <c r="I411" s="25">
        <f t="shared" si="58"/>
        <v>0.6</v>
      </c>
      <c r="J411" s="24">
        <f t="shared" si="59"/>
        <v>0.6066711555</v>
      </c>
      <c r="K411" s="24">
        <f t="shared" si="60"/>
        <v>0.3445162833</v>
      </c>
      <c r="L411" s="24">
        <f t="shared" si="5"/>
        <v>1.004169472</v>
      </c>
    </row>
    <row r="412">
      <c r="A412" s="20" t="s">
        <v>18</v>
      </c>
      <c r="B412" s="7" t="s">
        <v>20</v>
      </c>
      <c r="C412" s="7">
        <v>15.0</v>
      </c>
      <c r="D412" s="96">
        <v>0.93</v>
      </c>
      <c r="E412" s="22">
        <v>2.79</v>
      </c>
      <c r="F412" s="7">
        <v>0.006</v>
      </c>
      <c r="G412" s="23">
        <v>252.116617691</v>
      </c>
      <c r="H412" s="24">
        <f t="shared" si="57"/>
        <v>0.5724</v>
      </c>
      <c r="I412" s="25">
        <f t="shared" si="58"/>
        <v>0.4</v>
      </c>
      <c r="J412" s="24">
        <f t="shared" si="59"/>
        <v>0.3364617369</v>
      </c>
      <c r="K412" s="24">
        <f t="shared" si="60"/>
        <v>0.473338868</v>
      </c>
      <c r="L412" s="24">
        <f t="shared" si="5"/>
        <v>0.9546155264</v>
      </c>
    </row>
    <row r="413">
      <c r="A413" s="20" t="s">
        <v>18</v>
      </c>
      <c r="B413" s="7" t="s">
        <v>20</v>
      </c>
      <c r="C413" s="7">
        <v>16.0</v>
      </c>
      <c r="D413" s="96">
        <v>0.93</v>
      </c>
      <c r="E413" s="33">
        <v>2.25</v>
      </c>
      <c r="F413" s="7">
        <v>0.005</v>
      </c>
      <c r="G413" s="23">
        <v>203.636433929999</v>
      </c>
      <c r="H413" s="24">
        <f t="shared" si="57"/>
        <v>0.477</v>
      </c>
      <c r="I413" s="25">
        <f t="shared" si="58"/>
        <v>0.2</v>
      </c>
      <c r="J413" s="24">
        <f t="shared" si="59"/>
        <v>0.1060565193</v>
      </c>
      <c r="K413" s="24">
        <f t="shared" si="60"/>
        <v>0.6672647257</v>
      </c>
      <c r="L413" s="24">
        <f t="shared" si="5"/>
        <v>0.9217137661</v>
      </c>
    </row>
    <row r="414">
      <c r="A414" s="20" t="s">
        <v>18</v>
      </c>
      <c r="B414" s="7" t="s">
        <v>20</v>
      </c>
      <c r="C414" s="7">
        <v>17.0</v>
      </c>
      <c r="D414" s="96">
        <v>0.93</v>
      </c>
      <c r="E414" s="22">
        <v>2.65</v>
      </c>
      <c r="F414" s="7">
        <v>0.006</v>
      </c>
      <c r="G414" s="23">
        <v>239.151434890999</v>
      </c>
      <c r="H414" s="24">
        <f t="shared" si="57"/>
        <v>0.5724</v>
      </c>
      <c r="I414" s="25">
        <f t="shared" si="58"/>
        <v>0.4</v>
      </c>
      <c r="J414" s="24">
        <f t="shared" si="59"/>
        <v>0.2748438648</v>
      </c>
      <c r="K414" s="24">
        <f t="shared" si="60"/>
        <v>0.4962170688</v>
      </c>
      <c r="L414" s="24">
        <f t="shared" si="5"/>
        <v>0.9106027606</v>
      </c>
    </row>
    <row r="415">
      <c r="A415" s="20" t="s">
        <v>18</v>
      </c>
      <c r="B415" s="7" t="s">
        <v>20</v>
      </c>
      <c r="C415" s="7">
        <v>18.0</v>
      </c>
      <c r="D415" s="96">
        <v>0.93</v>
      </c>
      <c r="E415" s="33">
        <v>2.66</v>
      </c>
      <c r="F415" s="7">
        <v>0.006</v>
      </c>
      <c r="G415" s="23">
        <v>239.958220335</v>
      </c>
      <c r="H415" s="24">
        <f t="shared" si="57"/>
        <v>0.5724</v>
      </c>
      <c r="I415" s="25">
        <f t="shared" si="58"/>
        <v>0.4</v>
      </c>
      <c r="J415" s="24">
        <f t="shared" si="59"/>
        <v>0.2786781649</v>
      </c>
      <c r="K415" s="24">
        <f t="shared" si="60"/>
        <v>0.4947290906</v>
      </c>
      <c r="L415" s="24">
        <f t="shared" si="5"/>
        <v>0.9133415464</v>
      </c>
    </row>
    <row r="416">
      <c r="A416" s="20" t="s">
        <v>18</v>
      </c>
      <c r="B416" s="7" t="s">
        <v>20</v>
      </c>
      <c r="C416" s="7">
        <v>19.0</v>
      </c>
      <c r="D416" s="96">
        <v>0.93</v>
      </c>
      <c r="E416" s="22">
        <v>3.39</v>
      </c>
      <c r="F416" s="7">
        <v>0.007</v>
      </c>
      <c r="G416" s="23">
        <v>306.063729697</v>
      </c>
      <c r="H416" s="24">
        <f t="shared" si="57"/>
        <v>0.6678</v>
      </c>
      <c r="I416" s="25">
        <f t="shared" si="58"/>
        <v>0.6</v>
      </c>
      <c r="J416" s="24">
        <f t="shared" si="59"/>
        <v>0.5928488856</v>
      </c>
      <c r="K416" s="24">
        <f t="shared" si="60"/>
        <v>0.3475058934</v>
      </c>
      <c r="L416" s="24">
        <f t="shared" si="5"/>
        <v>0.9955305535</v>
      </c>
    </row>
    <row r="417">
      <c r="A417" s="20" t="s">
        <v>18</v>
      </c>
      <c r="B417" s="7" t="s">
        <v>20</v>
      </c>
      <c r="C417" s="7">
        <v>20.0</v>
      </c>
      <c r="D417" s="96">
        <v>0.93</v>
      </c>
      <c r="E417" s="33">
        <v>2.65</v>
      </c>
      <c r="F417" s="7">
        <v>0.006</v>
      </c>
      <c r="G417" s="23">
        <v>239.618953145</v>
      </c>
      <c r="H417" s="24">
        <f t="shared" si="57"/>
        <v>0.5724</v>
      </c>
      <c r="I417" s="25">
        <f t="shared" si="58"/>
        <v>0.4</v>
      </c>
      <c r="J417" s="24">
        <f t="shared" si="59"/>
        <v>0.2770657756</v>
      </c>
      <c r="K417" s="24">
        <f t="shared" si="60"/>
        <v>0.4953537224</v>
      </c>
      <c r="L417" s="24">
        <f t="shared" si="5"/>
        <v>0.9121898397</v>
      </c>
    </row>
    <row r="418">
      <c r="A418" s="20" t="s">
        <v>18</v>
      </c>
      <c r="B418" s="7" t="s">
        <v>20</v>
      </c>
      <c r="C418" s="7">
        <v>21.0</v>
      </c>
      <c r="D418" s="96">
        <v>0.93</v>
      </c>
      <c r="E418" s="22">
        <v>2.83</v>
      </c>
      <c r="F418" s="7">
        <v>0.006</v>
      </c>
      <c r="G418" s="23">
        <v>256.146351731999</v>
      </c>
      <c r="H418" s="24">
        <f t="shared" si="57"/>
        <v>0.5724</v>
      </c>
      <c r="I418" s="25">
        <f t="shared" si="58"/>
        <v>0.4</v>
      </c>
      <c r="J418" s="24">
        <f t="shared" si="59"/>
        <v>0.3556133093</v>
      </c>
      <c r="K418" s="24">
        <f t="shared" si="60"/>
        <v>0.4666517224</v>
      </c>
      <c r="L418" s="24">
        <f t="shared" si="5"/>
        <v>0.9682952209</v>
      </c>
    </row>
    <row r="419">
      <c r="A419" s="20" t="s">
        <v>18</v>
      </c>
      <c r="B419" s="7" t="s">
        <v>20</v>
      </c>
      <c r="C419" s="7">
        <v>22.0</v>
      </c>
      <c r="D419" s="96">
        <v>0.93</v>
      </c>
      <c r="E419" s="33">
        <v>3.14</v>
      </c>
      <c r="F419" s="7">
        <v>0.007</v>
      </c>
      <c r="G419" s="23">
        <v>283.111392894999</v>
      </c>
      <c r="H419" s="24">
        <f t="shared" si="57"/>
        <v>0.6678</v>
      </c>
      <c r="I419" s="25">
        <f t="shared" si="58"/>
        <v>0.6</v>
      </c>
      <c r="J419" s="24">
        <f t="shared" si="59"/>
        <v>0.4837664163</v>
      </c>
      <c r="K419" s="24">
        <f t="shared" si="60"/>
        <v>0.373053581</v>
      </c>
      <c r="L419" s="24">
        <f t="shared" si="5"/>
        <v>0.9273540102</v>
      </c>
    </row>
    <row r="420">
      <c r="A420" s="20" t="s">
        <v>18</v>
      </c>
      <c r="B420" s="7" t="s">
        <v>20</v>
      </c>
      <c r="C420" s="7">
        <v>23.0</v>
      </c>
      <c r="D420" s="96">
        <v>0.93</v>
      </c>
      <c r="E420" s="22">
        <v>3.45</v>
      </c>
      <c r="F420" s="7">
        <v>0.007</v>
      </c>
      <c r="G420" s="23">
        <v>311.664030781</v>
      </c>
      <c r="H420" s="24">
        <f t="shared" si="57"/>
        <v>0.6678</v>
      </c>
      <c r="I420" s="25">
        <f t="shared" si="58"/>
        <v>0.6</v>
      </c>
      <c r="J420" s="24">
        <f t="shared" si="59"/>
        <v>0.6194646797</v>
      </c>
      <c r="K420" s="24">
        <f t="shared" si="60"/>
        <v>0.3417946572</v>
      </c>
      <c r="L420" s="24">
        <f t="shared" si="5"/>
        <v>1.012165425</v>
      </c>
    </row>
    <row r="421">
      <c r="A421" s="20" t="s">
        <v>18</v>
      </c>
      <c r="B421" s="7" t="s">
        <v>20</v>
      </c>
      <c r="C421" s="7">
        <v>24.0</v>
      </c>
      <c r="D421" s="96">
        <v>0.93</v>
      </c>
      <c r="E421" s="33">
        <v>2.54</v>
      </c>
      <c r="F421" s="7">
        <v>0.005</v>
      </c>
      <c r="G421" s="23">
        <v>229.442950490999</v>
      </c>
      <c r="H421" s="24">
        <f t="shared" si="57"/>
        <v>0.477</v>
      </c>
      <c r="I421" s="25">
        <f t="shared" si="58"/>
        <v>0.2</v>
      </c>
      <c r="J421" s="24">
        <f t="shared" si="59"/>
        <v>0.228703663</v>
      </c>
      <c r="K421" s="24">
        <f t="shared" si="60"/>
        <v>0.6006594773</v>
      </c>
      <c r="L421" s="24">
        <f t="shared" si="5"/>
        <v>1.023919719</v>
      </c>
    </row>
    <row r="422">
      <c r="A422" s="20" t="s">
        <v>18</v>
      </c>
      <c r="B422" s="7" t="s">
        <v>20</v>
      </c>
      <c r="C422" s="7">
        <v>25.0</v>
      </c>
      <c r="D422" s="96">
        <v>0.93</v>
      </c>
      <c r="E422" s="22">
        <v>2.48</v>
      </c>
      <c r="F422" s="7">
        <v>0.005</v>
      </c>
      <c r="G422" s="23">
        <v>224.072806115999</v>
      </c>
      <c r="H422" s="24">
        <f t="shared" si="57"/>
        <v>0.477</v>
      </c>
      <c r="I422" s="25">
        <f t="shared" si="58"/>
        <v>0.2</v>
      </c>
      <c r="J422" s="24">
        <f t="shared" si="59"/>
        <v>0.2031817036</v>
      </c>
      <c r="K422" s="24">
        <f t="shared" si="60"/>
        <v>0.6134007007</v>
      </c>
      <c r="L422" s="24">
        <f t="shared" si="5"/>
        <v>1.00265142</v>
      </c>
    </row>
    <row r="423">
      <c r="A423" s="20" t="s">
        <v>18</v>
      </c>
      <c r="B423" s="7" t="s">
        <v>20</v>
      </c>
      <c r="C423" s="7">
        <v>26.0</v>
      </c>
      <c r="D423" s="96">
        <v>0.93</v>
      </c>
      <c r="E423" s="33">
        <v>3.07</v>
      </c>
      <c r="F423" s="7">
        <v>0.007</v>
      </c>
      <c r="G423" s="23">
        <v>276.716033445999</v>
      </c>
      <c r="H423" s="24">
        <f t="shared" si="57"/>
        <v>0.6678</v>
      </c>
      <c r="I423" s="25">
        <f t="shared" si="58"/>
        <v>0.6</v>
      </c>
      <c r="J423" s="24">
        <f t="shared" si="59"/>
        <v>0.4533720558</v>
      </c>
      <c r="K423" s="24">
        <f t="shared" si="60"/>
        <v>0.3808552482</v>
      </c>
      <c r="L423" s="24">
        <f t="shared" si="5"/>
        <v>0.9083575349</v>
      </c>
    </row>
    <row r="424">
      <c r="A424" s="20" t="s">
        <v>18</v>
      </c>
      <c r="B424" s="7" t="s">
        <v>20</v>
      </c>
      <c r="C424" s="7">
        <v>27.0</v>
      </c>
      <c r="D424" s="96">
        <v>0.93</v>
      </c>
      <c r="E424" s="22">
        <v>2.54</v>
      </c>
      <c r="F424" s="7">
        <v>0.005</v>
      </c>
      <c r="G424" s="23">
        <v>229.573913311</v>
      </c>
      <c r="H424" s="24">
        <f t="shared" si="57"/>
        <v>0.477</v>
      </c>
      <c r="I424" s="25">
        <f t="shared" si="58"/>
        <v>0.2</v>
      </c>
      <c r="J424" s="24">
        <f t="shared" si="59"/>
        <v>0.2293260723</v>
      </c>
      <c r="K424" s="24">
        <f t="shared" si="60"/>
        <v>0.6003553627</v>
      </c>
      <c r="L424" s="24">
        <f t="shared" si="5"/>
        <v>1.024438394</v>
      </c>
    </row>
    <row r="425">
      <c r="A425" s="20" t="s">
        <v>18</v>
      </c>
      <c r="B425" s="7" t="s">
        <v>20</v>
      </c>
      <c r="C425" s="7">
        <v>28.0</v>
      </c>
      <c r="D425" s="96">
        <v>0.93</v>
      </c>
      <c r="E425" s="33">
        <v>2.2</v>
      </c>
      <c r="F425" s="7">
        <v>0.005</v>
      </c>
      <c r="G425" s="23">
        <v>199.196457959999</v>
      </c>
      <c r="H425" s="24">
        <f t="shared" si="57"/>
        <v>0.477</v>
      </c>
      <c r="I425" s="25">
        <f t="shared" si="58"/>
        <v>0.2</v>
      </c>
      <c r="J425" s="24">
        <f t="shared" si="59"/>
        <v>0.08495524556</v>
      </c>
      <c r="K425" s="24">
        <f t="shared" si="60"/>
        <v>0.6802423446</v>
      </c>
      <c r="L425" s="24">
        <f t="shared" si="5"/>
        <v>0.9041293713</v>
      </c>
    </row>
    <row r="426">
      <c r="A426" s="20" t="s">
        <v>18</v>
      </c>
      <c r="B426" s="7" t="s">
        <v>20</v>
      </c>
      <c r="C426" s="7">
        <v>29.0</v>
      </c>
      <c r="D426" s="96">
        <v>0.93</v>
      </c>
      <c r="E426" s="22">
        <v>2.88</v>
      </c>
      <c r="F426" s="7">
        <v>0.006</v>
      </c>
      <c r="G426" s="23">
        <v>259.762012598999</v>
      </c>
      <c r="H426" s="24">
        <f t="shared" si="57"/>
        <v>0.5724</v>
      </c>
      <c r="I426" s="25">
        <f t="shared" si="58"/>
        <v>0.4</v>
      </c>
      <c r="J426" s="24">
        <f t="shared" si="59"/>
        <v>0.3727969721</v>
      </c>
      <c r="K426" s="24">
        <f t="shared" si="60"/>
        <v>0.4608105194</v>
      </c>
      <c r="L426" s="24">
        <f t="shared" si="5"/>
        <v>0.9805692658</v>
      </c>
    </row>
    <row r="427">
      <c r="A427" s="20" t="s">
        <v>18</v>
      </c>
      <c r="B427" s="7" t="s">
        <v>20</v>
      </c>
      <c r="C427" s="7">
        <v>30.0</v>
      </c>
      <c r="D427" s="96">
        <v>0.93</v>
      </c>
      <c r="E427" s="33">
        <v>4.35</v>
      </c>
      <c r="F427" s="7">
        <v>0.009</v>
      </c>
      <c r="G427" s="23">
        <v>391.733494680999</v>
      </c>
      <c r="H427" s="24">
        <f t="shared" si="57"/>
        <v>0.8586</v>
      </c>
      <c r="I427" s="25">
        <f t="shared" si="58"/>
        <v>1</v>
      </c>
      <c r="J427" s="24">
        <f t="shared" si="59"/>
        <v>1</v>
      </c>
      <c r="K427" s="24">
        <f t="shared" si="60"/>
        <v>0.22140975</v>
      </c>
      <c r="L427" s="24">
        <f t="shared" si="5"/>
        <v>1</v>
      </c>
    </row>
    <row r="428">
      <c r="A428" s="20" t="s">
        <v>18</v>
      </c>
      <c r="B428" s="7" t="s">
        <v>20</v>
      </c>
      <c r="C428" s="7">
        <v>31.0</v>
      </c>
      <c r="D428" s="96">
        <v>0.93</v>
      </c>
      <c r="E428" s="22">
        <v>2.92</v>
      </c>
      <c r="F428" s="7">
        <v>0.006</v>
      </c>
      <c r="G428" s="23">
        <v>263.399252446999</v>
      </c>
      <c r="H428" s="24">
        <f t="shared" si="57"/>
        <v>0.5724</v>
      </c>
      <c r="I428" s="25">
        <f t="shared" si="58"/>
        <v>0.4</v>
      </c>
      <c r="J428" s="24">
        <f t="shared" si="59"/>
        <v>0.3900831904</v>
      </c>
      <c r="K428" s="24">
        <f t="shared" si="60"/>
        <v>0.4550801636</v>
      </c>
      <c r="L428" s="24">
        <f t="shared" si="5"/>
        <v>0.9929165646</v>
      </c>
    </row>
    <row r="429">
      <c r="A429" s="20" t="s">
        <v>18</v>
      </c>
      <c r="B429" s="7" t="s">
        <v>20</v>
      </c>
      <c r="C429" s="7">
        <v>32.0</v>
      </c>
      <c r="D429" s="96">
        <v>0.93</v>
      </c>
      <c r="E429" s="33">
        <v>3.42</v>
      </c>
      <c r="F429" s="7">
        <v>0.007</v>
      </c>
      <c r="G429" s="23">
        <v>309.004776009</v>
      </c>
      <c r="H429" s="24">
        <f t="shared" si="57"/>
        <v>0.6678</v>
      </c>
      <c r="I429" s="25">
        <f t="shared" si="58"/>
        <v>0.6</v>
      </c>
      <c r="J429" s="24">
        <f t="shared" si="59"/>
        <v>0.606826399</v>
      </c>
      <c r="K429" s="24">
        <f t="shared" si="60"/>
        <v>0.3444829979</v>
      </c>
      <c r="L429" s="24">
        <f t="shared" si="5"/>
        <v>1.004266499</v>
      </c>
    </row>
    <row r="430">
      <c r="A430" s="20" t="s">
        <v>18</v>
      </c>
      <c r="B430" s="7" t="s">
        <v>20</v>
      </c>
      <c r="C430" s="7">
        <v>33.0</v>
      </c>
      <c r="D430" s="96">
        <v>0.93</v>
      </c>
      <c r="E430" s="22">
        <v>2.24</v>
      </c>
      <c r="F430" s="7">
        <v>0.005</v>
      </c>
      <c r="G430" s="23">
        <v>202.697331749999</v>
      </c>
      <c r="H430" s="24">
        <f t="shared" si="57"/>
        <v>0.477</v>
      </c>
      <c r="I430" s="25">
        <f t="shared" si="58"/>
        <v>0.2</v>
      </c>
      <c r="J430" s="24">
        <f t="shared" si="59"/>
        <v>0.1015933753</v>
      </c>
      <c r="K430" s="24">
        <f t="shared" si="60"/>
        <v>0.6699681721</v>
      </c>
      <c r="L430" s="24">
        <f t="shared" si="5"/>
        <v>0.9179944794</v>
      </c>
    </row>
    <row r="431">
      <c r="A431" s="57" t="s">
        <v>18</v>
      </c>
      <c r="B431" s="58" t="s">
        <v>39</v>
      </c>
      <c r="C431" s="7">
        <v>1.0</v>
      </c>
      <c r="D431" s="96">
        <v>0.94</v>
      </c>
      <c r="E431" s="74">
        <v>0.98</v>
      </c>
      <c r="F431" s="7">
        <v>0.007</v>
      </c>
      <c r="G431" s="23">
        <v>304.545183802</v>
      </c>
      <c r="H431" s="24">
        <f t="shared" ref="H431:H463" si="61">F431*207/5</f>
        <v>0.2898</v>
      </c>
      <c r="I431" s="25">
        <f t="shared" ref="I431:I463" si="62">(H431-MIN($H$431:$H$463))/(MAX($H$431:$H$463)-MIN($H$431:$H$463))</f>
        <v>0.2857142857</v>
      </c>
      <c r="J431" s="24">
        <f t="shared" ref="J431:J463" si="63">(G431-MIN($G$431:$G$463))/(MAX($G$431:$G$463)-MIN($G$431:$G$463))</f>
        <v>0.3882484284</v>
      </c>
      <c r="K431" s="24">
        <f t="shared" ref="K431:K463" si="64">0.94*(1/(1+I431))*(1/(1+J431))*(1-0.0414)</f>
        <v>0.5048398376</v>
      </c>
      <c r="L431" s="24">
        <f t="shared" si="5"/>
        <v>1.079748778</v>
      </c>
    </row>
    <row r="432">
      <c r="A432" s="20" t="s">
        <v>18</v>
      </c>
      <c r="B432" s="7" t="s">
        <v>39</v>
      </c>
      <c r="C432" s="7">
        <v>2.0</v>
      </c>
      <c r="D432" s="96">
        <v>0.94</v>
      </c>
      <c r="E432" s="74">
        <v>0.89</v>
      </c>
      <c r="F432" s="7">
        <v>0.006</v>
      </c>
      <c r="G432" s="23">
        <v>269.214318872999</v>
      </c>
      <c r="H432" s="24">
        <f t="shared" si="61"/>
        <v>0.2484</v>
      </c>
      <c r="I432" s="25">
        <f t="shared" si="62"/>
        <v>0.1428571429</v>
      </c>
      <c r="J432" s="24">
        <f t="shared" si="63"/>
        <v>0.2686708803</v>
      </c>
      <c r="K432" s="24">
        <f t="shared" si="64"/>
        <v>0.6214759968</v>
      </c>
      <c r="L432" s="24">
        <f t="shared" si="5"/>
        <v>1.11008702</v>
      </c>
    </row>
    <row r="433">
      <c r="A433" s="20" t="s">
        <v>18</v>
      </c>
      <c r="B433" s="7" t="s">
        <v>39</v>
      </c>
      <c r="C433" s="7">
        <v>3.0</v>
      </c>
      <c r="D433" s="96">
        <v>0.94</v>
      </c>
      <c r="E433" s="74">
        <v>0.67</v>
      </c>
      <c r="F433" s="7">
        <v>0.005</v>
      </c>
      <c r="G433" s="23">
        <v>204.769137504999</v>
      </c>
      <c r="H433" s="24">
        <f t="shared" si="61"/>
        <v>0.207</v>
      </c>
      <c r="I433" s="25">
        <f t="shared" si="62"/>
        <v>0</v>
      </c>
      <c r="J433" s="24">
        <f t="shared" si="63"/>
        <v>0.05055573409</v>
      </c>
      <c r="K433" s="24">
        <f t="shared" si="64"/>
        <v>0.8577212715</v>
      </c>
      <c r="L433" s="24">
        <f t="shared" si="5"/>
        <v>1.050555734</v>
      </c>
    </row>
    <row r="434">
      <c r="A434" s="20" t="s">
        <v>18</v>
      </c>
      <c r="B434" s="7" t="s">
        <v>39</v>
      </c>
      <c r="C434" s="7">
        <v>4.0</v>
      </c>
      <c r="D434" s="96">
        <v>0.94</v>
      </c>
      <c r="E434" s="74">
        <v>1.12</v>
      </c>
      <c r="F434" s="7">
        <v>0.008</v>
      </c>
      <c r="G434" s="23">
        <v>334.725033052</v>
      </c>
      <c r="H434" s="24">
        <f t="shared" si="61"/>
        <v>0.3312</v>
      </c>
      <c r="I434" s="25">
        <f t="shared" si="62"/>
        <v>0.4285714286</v>
      </c>
      <c r="J434" s="24">
        <f t="shared" si="63"/>
        <v>0.4903923295</v>
      </c>
      <c r="K434" s="24">
        <f t="shared" si="64"/>
        <v>0.4232166172</v>
      </c>
      <c r="L434" s="24">
        <f t="shared" si="5"/>
        <v>1.043274631</v>
      </c>
    </row>
    <row r="435">
      <c r="A435" s="20" t="s">
        <v>18</v>
      </c>
      <c r="B435" s="7" t="s">
        <v>39</v>
      </c>
      <c r="C435" s="7">
        <v>5.0</v>
      </c>
      <c r="D435" s="96">
        <v>0.94</v>
      </c>
      <c r="E435" s="74">
        <v>1.05</v>
      </c>
      <c r="F435" s="7">
        <v>0.008</v>
      </c>
      <c r="G435" s="23">
        <v>318.39884694</v>
      </c>
      <c r="H435" s="24">
        <f t="shared" si="61"/>
        <v>0.3312</v>
      </c>
      <c r="I435" s="25">
        <f t="shared" si="62"/>
        <v>0.4285714286</v>
      </c>
      <c r="J435" s="24">
        <f t="shared" si="63"/>
        <v>0.4351362437</v>
      </c>
      <c r="K435" s="24">
        <f t="shared" si="64"/>
        <v>0.439511442</v>
      </c>
      <c r="L435" s="24">
        <f t="shared" si="5"/>
        <v>1.004595371</v>
      </c>
    </row>
    <row r="436">
      <c r="A436" s="20" t="s">
        <v>18</v>
      </c>
      <c r="B436" s="7" t="s">
        <v>39</v>
      </c>
      <c r="C436" s="7">
        <v>6.0</v>
      </c>
      <c r="D436" s="96">
        <v>0.94</v>
      </c>
      <c r="E436" s="74">
        <v>0.78</v>
      </c>
      <c r="F436" s="7">
        <v>0.006</v>
      </c>
      <c r="G436" s="23">
        <v>237.297913422999</v>
      </c>
      <c r="H436" s="24">
        <f t="shared" si="61"/>
        <v>0.2484</v>
      </c>
      <c r="I436" s="25">
        <f t="shared" si="62"/>
        <v>0.1428571429</v>
      </c>
      <c r="J436" s="24">
        <f t="shared" si="63"/>
        <v>0.1606495932</v>
      </c>
      <c r="K436" s="24">
        <f t="shared" si="64"/>
        <v>0.6793165695</v>
      </c>
      <c r="L436" s="24">
        <f t="shared" si="5"/>
        <v>1.015568394</v>
      </c>
    </row>
    <row r="437">
      <c r="A437" s="20" t="s">
        <v>18</v>
      </c>
      <c r="B437" s="7" t="s">
        <v>39</v>
      </c>
      <c r="C437" s="7">
        <v>7.0</v>
      </c>
      <c r="D437" s="96">
        <v>0.94</v>
      </c>
      <c r="E437" s="74">
        <v>0.67</v>
      </c>
      <c r="F437" s="7">
        <v>0.005</v>
      </c>
      <c r="G437" s="23">
        <v>202.518213590999</v>
      </c>
      <c r="H437" s="24">
        <f t="shared" si="61"/>
        <v>0.207</v>
      </c>
      <c r="I437" s="25">
        <f t="shared" si="62"/>
        <v>0</v>
      </c>
      <c r="J437" s="24">
        <f t="shared" si="63"/>
        <v>0.04293746709</v>
      </c>
      <c r="K437" s="24">
        <f t="shared" si="64"/>
        <v>0.8639866036</v>
      </c>
      <c r="L437" s="24">
        <f t="shared" si="5"/>
        <v>1.042937467</v>
      </c>
    </row>
    <row r="438">
      <c r="A438" s="20" t="s">
        <v>18</v>
      </c>
      <c r="B438" s="7" t="s">
        <v>39</v>
      </c>
      <c r="C438" s="7">
        <v>8.0</v>
      </c>
      <c r="D438" s="96">
        <v>0.94</v>
      </c>
      <c r="E438" s="74">
        <v>0.63</v>
      </c>
      <c r="F438" s="7">
        <v>0.005</v>
      </c>
      <c r="G438" s="23">
        <v>189.83173628</v>
      </c>
      <c r="H438" s="24">
        <f t="shared" si="61"/>
        <v>0.207</v>
      </c>
      <c r="I438" s="25">
        <f t="shared" si="62"/>
        <v>0</v>
      </c>
      <c r="J438" s="24">
        <f t="shared" si="63"/>
        <v>0</v>
      </c>
      <c r="K438" s="24">
        <f t="shared" si="64"/>
        <v>0.901084</v>
      </c>
      <c r="L438" s="24">
        <f t="shared" si="5"/>
        <v>1</v>
      </c>
    </row>
    <row r="439">
      <c r="A439" s="20" t="s">
        <v>18</v>
      </c>
      <c r="B439" s="7" t="s">
        <v>39</v>
      </c>
      <c r="C439" s="7">
        <v>9.0</v>
      </c>
      <c r="D439" s="96">
        <v>0.94</v>
      </c>
      <c r="E439" s="74">
        <v>0.7</v>
      </c>
      <c r="F439" s="7">
        <v>0.005</v>
      </c>
      <c r="G439" s="23">
        <v>211.154763718</v>
      </c>
      <c r="H439" s="24">
        <f t="shared" si="61"/>
        <v>0.207</v>
      </c>
      <c r="I439" s="25">
        <f t="shared" si="62"/>
        <v>0</v>
      </c>
      <c r="J439" s="24">
        <f t="shared" si="63"/>
        <v>0.07216792861</v>
      </c>
      <c r="K439" s="24">
        <f t="shared" si="64"/>
        <v>0.8404317793</v>
      </c>
      <c r="L439" s="24">
        <f t="shared" si="5"/>
        <v>1.072167929</v>
      </c>
    </row>
    <row r="440">
      <c r="A440" s="20" t="s">
        <v>18</v>
      </c>
      <c r="B440" s="7" t="s">
        <v>39</v>
      </c>
      <c r="C440" s="7">
        <v>10.0</v>
      </c>
      <c r="D440" s="96">
        <v>0.94</v>
      </c>
      <c r="E440" s="74">
        <v>0.75</v>
      </c>
      <c r="F440" s="7">
        <v>0.005</v>
      </c>
      <c r="G440" s="23">
        <v>223.804899102</v>
      </c>
      <c r="H440" s="24">
        <f t="shared" si="61"/>
        <v>0.207</v>
      </c>
      <c r="I440" s="25">
        <f t="shared" si="62"/>
        <v>0</v>
      </c>
      <c r="J440" s="24">
        <f t="shared" si="63"/>
        <v>0.1149823962</v>
      </c>
      <c r="K440" s="24">
        <f t="shared" si="64"/>
        <v>0.8081598446</v>
      </c>
      <c r="L440" s="24">
        <f t="shared" si="5"/>
        <v>1.114982396</v>
      </c>
    </row>
    <row r="441">
      <c r="A441" s="20" t="s">
        <v>18</v>
      </c>
      <c r="B441" s="7" t="s">
        <v>39</v>
      </c>
      <c r="C441" s="7">
        <v>11.0</v>
      </c>
      <c r="D441" s="96">
        <v>0.94</v>
      </c>
      <c r="E441" s="74">
        <v>0.83</v>
      </c>
      <c r="F441" s="7">
        <v>0.006</v>
      </c>
      <c r="G441" s="23">
        <v>247.46529348</v>
      </c>
      <c r="H441" s="24">
        <f t="shared" si="61"/>
        <v>0.2484</v>
      </c>
      <c r="I441" s="25">
        <f t="shared" si="62"/>
        <v>0.1428571429</v>
      </c>
      <c r="J441" s="24">
        <f t="shared" si="63"/>
        <v>0.1950611588</v>
      </c>
      <c r="K441" s="24">
        <f t="shared" si="64"/>
        <v>0.6597557742</v>
      </c>
      <c r="L441" s="24">
        <f t="shared" si="5"/>
        <v>1.045678514</v>
      </c>
    </row>
    <row r="442">
      <c r="A442" s="20" t="s">
        <v>18</v>
      </c>
      <c r="B442" s="7" t="s">
        <v>39</v>
      </c>
      <c r="C442" s="7">
        <v>12.0</v>
      </c>
      <c r="D442" s="96">
        <v>0.94</v>
      </c>
      <c r="E442" s="74">
        <v>0.84</v>
      </c>
      <c r="F442" s="7">
        <v>0.006</v>
      </c>
      <c r="G442" s="23">
        <v>248.41079326</v>
      </c>
      <c r="H442" s="24">
        <f t="shared" si="61"/>
        <v>0.2484</v>
      </c>
      <c r="I442" s="25">
        <f t="shared" si="62"/>
        <v>0.1428571429</v>
      </c>
      <c r="J442" s="24">
        <f t="shared" si="63"/>
        <v>0.1982612091</v>
      </c>
      <c r="K442" s="24">
        <f t="shared" si="64"/>
        <v>0.6579938447</v>
      </c>
      <c r="L442" s="24">
        <f t="shared" si="5"/>
        <v>1.048478558</v>
      </c>
    </row>
    <row r="443">
      <c r="A443" s="20" t="s">
        <v>18</v>
      </c>
      <c r="B443" s="7" t="s">
        <v>39</v>
      </c>
      <c r="C443" s="7">
        <v>13.0</v>
      </c>
      <c r="D443" s="96">
        <v>0.94</v>
      </c>
      <c r="E443" s="74">
        <v>0.73</v>
      </c>
      <c r="F443" s="7">
        <v>0.005</v>
      </c>
      <c r="G443" s="23">
        <v>217.202628265999</v>
      </c>
      <c r="H443" s="24">
        <f t="shared" si="61"/>
        <v>0.207</v>
      </c>
      <c r="I443" s="25">
        <f t="shared" si="62"/>
        <v>0</v>
      </c>
      <c r="J443" s="24">
        <f t="shared" si="63"/>
        <v>0.09263696652</v>
      </c>
      <c r="K443" s="24">
        <f t="shared" si="64"/>
        <v>0.8246874558</v>
      </c>
      <c r="L443" s="24">
        <f t="shared" si="5"/>
        <v>1.092636967</v>
      </c>
    </row>
    <row r="444">
      <c r="A444" s="20" t="s">
        <v>18</v>
      </c>
      <c r="B444" s="7" t="s">
        <v>39</v>
      </c>
      <c r="C444" s="7">
        <v>14.0</v>
      </c>
      <c r="D444" s="96">
        <v>0.94</v>
      </c>
      <c r="E444" s="74">
        <v>0.87</v>
      </c>
      <c r="F444" s="7">
        <v>0.006</v>
      </c>
      <c r="G444" s="23">
        <v>258.174175945999</v>
      </c>
      <c r="H444" s="24">
        <f t="shared" si="61"/>
        <v>0.2484</v>
      </c>
      <c r="I444" s="25">
        <f t="shared" si="62"/>
        <v>0.1428571429</v>
      </c>
      <c r="J444" s="24">
        <f t="shared" si="63"/>
        <v>0.231305443</v>
      </c>
      <c r="K444" s="24">
        <f t="shared" si="64"/>
        <v>0.6403354298</v>
      </c>
      <c r="L444" s="24">
        <f t="shared" si="5"/>
        <v>1.077392263</v>
      </c>
    </row>
    <row r="445">
      <c r="A445" s="20" t="s">
        <v>18</v>
      </c>
      <c r="B445" s="7" t="s">
        <v>39</v>
      </c>
      <c r="C445" s="7">
        <v>15.0</v>
      </c>
      <c r="D445" s="96">
        <v>0.94</v>
      </c>
      <c r="E445" s="74">
        <v>1.0</v>
      </c>
      <c r="F445" s="7">
        <v>0.007</v>
      </c>
      <c r="G445" s="23">
        <v>295.941045947999</v>
      </c>
      <c r="H445" s="24">
        <f t="shared" si="61"/>
        <v>0.2898</v>
      </c>
      <c r="I445" s="25">
        <f t="shared" si="62"/>
        <v>0.2857142857</v>
      </c>
      <c r="J445" s="24">
        <f t="shared" si="63"/>
        <v>0.3591276664</v>
      </c>
      <c r="K445" s="24">
        <f t="shared" si="64"/>
        <v>0.5156565703</v>
      </c>
      <c r="L445" s="24">
        <f t="shared" si="5"/>
        <v>1.057099296</v>
      </c>
    </row>
    <row r="446">
      <c r="A446" s="20" t="s">
        <v>18</v>
      </c>
      <c r="B446" s="7" t="s">
        <v>39</v>
      </c>
      <c r="C446" s="7">
        <v>16.0</v>
      </c>
      <c r="D446" s="96">
        <v>0.94</v>
      </c>
      <c r="E446" s="74">
        <v>0.91</v>
      </c>
      <c r="F446" s="7">
        <v>0.007</v>
      </c>
      <c r="G446" s="23">
        <v>270.933727141</v>
      </c>
      <c r="H446" s="24">
        <f t="shared" si="61"/>
        <v>0.2898</v>
      </c>
      <c r="I446" s="25">
        <f t="shared" si="62"/>
        <v>0.2857142857</v>
      </c>
      <c r="J446" s="24">
        <f t="shared" si="63"/>
        <v>0.2744902291</v>
      </c>
      <c r="K446" s="24">
        <f t="shared" si="64"/>
        <v>0.5499007329</v>
      </c>
      <c r="L446" s="24">
        <f t="shared" si="5"/>
        <v>0.9912701782</v>
      </c>
    </row>
    <row r="447">
      <c r="A447" s="20" t="s">
        <v>18</v>
      </c>
      <c r="B447" s="7" t="s">
        <v>39</v>
      </c>
      <c r="C447" s="7">
        <v>17.0</v>
      </c>
      <c r="D447" s="96">
        <v>0.94</v>
      </c>
      <c r="E447" s="74">
        <v>0.81</v>
      </c>
      <c r="F447" s="7">
        <v>0.006</v>
      </c>
      <c r="G447" s="23">
        <v>240.216641185</v>
      </c>
      <c r="H447" s="24">
        <f t="shared" si="61"/>
        <v>0.2484</v>
      </c>
      <c r="I447" s="25">
        <f t="shared" si="62"/>
        <v>0.1428571429</v>
      </c>
      <c r="J447" s="24">
        <f t="shared" si="63"/>
        <v>0.1705280468</v>
      </c>
      <c r="K447" s="24">
        <f t="shared" si="64"/>
        <v>0.6735836037</v>
      </c>
      <c r="L447" s="24">
        <f t="shared" si="5"/>
        <v>1.024212041</v>
      </c>
    </row>
    <row r="448">
      <c r="A448" s="20" t="s">
        <v>18</v>
      </c>
      <c r="B448" s="7" t="s">
        <v>39</v>
      </c>
      <c r="C448" s="7">
        <v>18.0</v>
      </c>
      <c r="D448" s="96">
        <v>0.94</v>
      </c>
      <c r="E448" s="74">
        <v>0.79</v>
      </c>
      <c r="F448" s="7">
        <v>0.006</v>
      </c>
      <c r="G448" s="23">
        <v>237.290854408</v>
      </c>
      <c r="H448" s="24">
        <f t="shared" si="61"/>
        <v>0.2484</v>
      </c>
      <c r="I448" s="25">
        <f t="shared" si="62"/>
        <v>0.1428571429</v>
      </c>
      <c r="J448" s="24">
        <f t="shared" si="63"/>
        <v>0.1606257019</v>
      </c>
      <c r="K448" s="24">
        <f t="shared" si="64"/>
        <v>0.6793305531</v>
      </c>
      <c r="L448" s="24">
        <f t="shared" si="5"/>
        <v>1.015547489</v>
      </c>
    </row>
    <row r="449">
      <c r="A449" s="20" t="s">
        <v>18</v>
      </c>
      <c r="B449" s="7" t="s">
        <v>39</v>
      </c>
      <c r="C449" s="7">
        <v>19.0</v>
      </c>
      <c r="D449" s="96">
        <v>0.94</v>
      </c>
      <c r="E449" s="74">
        <v>0.85</v>
      </c>
      <c r="F449" s="7">
        <v>0.006</v>
      </c>
      <c r="G449" s="23">
        <v>256.542253872999</v>
      </c>
      <c r="H449" s="24">
        <f t="shared" si="61"/>
        <v>0.2484</v>
      </c>
      <c r="I449" s="25">
        <f t="shared" si="62"/>
        <v>0.1428571429</v>
      </c>
      <c r="J449" s="24">
        <f t="shared" si="63"/>
        <v>0.2257821918</v>
      </c>
      <c r="K449" s="24">
        <f t="shared" si="64"/>
        <v>0.6432207167</v>
      </c>
      <c r="L449" s="24">
        <f t="shared" si="5"/>
        <v>1.072559418</v>
      </c>
    </row>
    <row r="450">
      <c r="A450" s="20" t="s">
        <v>18</v>
      </c>
      <c r="B450" s="7" t="s">
        <v>39</v>
      </c>
      <c r="C450" s="7">
        <v>20.0</v>
      </c>
      <c r="D450" s="96">
        <v>0.94</v>
      </c>
      <c r="E450" s="74">
        <v>0.85</v>
      </c>
      <c r="F450" s="7">
        <v>0.006</v>
      </c>
      <c r="G450" s="23">
        <v>256.707625021999</v>
      </c>
      <c r="H450" s="24">
        <f t="shared" si="61"/>
        <v>0.2484</v>
      </c>
      <c r="I450" s="25">
        <f t="shared" si="62"/>
        <v>0.1428571429</v>
      </c>
      <c r="J450" s="24">
        <f t="shared" si="63"/>
        <v>0.2263418916</v>
      </c>
      <c r="K450" s="24">
        <f t="shared" si="64"/>
        <v>0.6429271522</v>
      </c>
      <c r="L450" s="24">
        <f t="shared" si="5"/>
        <v>1.073049155</v>
      </c>
    </row>
    <row r="451">
      <c r="A451" s="20" t="s">
        <v>18</v>
      </c>
      <c r="B451" s="7" t="s">
        <v>39</v>
      </c>
      <c r="C451" s="7">
        <v>21.0</v>
      </c>
      <c r="D451" s="96">
        <v>0.94</v>
      </c>
      <c r="E451" s="74">
        <v>0.83</v>
      </c>
      <c r="F451" s="7">
        <v>0.006</v>
      </c>
      <c r="G451" s="23">
        <v>251.787630681999</v>
      </c>
      <c r="H451" s="24">
        <f t="shared" si="61"/>
        <v>0.2484</v>
      </c>
      <c r="I451" s="25">
        <f t="shared" si="62"/>
        <v>0.1428571429</v>
      </c>
      <c r="J451" s="24">
        <f t="shared" si="63"/>
        <v>0.2096901379</v>
      </c>
      <c r="K451" s="24">
        <f t="shared" si="64"/>
        <v>0.6517772405</v>
      </c>
      <c r="L451" s="24">
        <f t="shared" si="5"/>
        <v>1.058478871</v>
      </c>
    </row>
    <row r="452">
      <c r="A452" s="20" t="s">
        <v>18</v>
      </c>
      <c r="B452" s="7" t="s">
        <v>39</v>
      </c>
      <c r="C452" s="7">
        <v>22.0</v>
      </c>
      <c r="D452" s="96">
        <v>0.94</v>
      </c>
      <c r="E452" s="74">
        <v>1.22</v>
      </c>
      <c r="F452" s="7">
        <v>0.009</v>
      </c>
      <c r="G452" s="23">
        <v>365.586058328999</v>
      </c>
      <c r="H452" s="24">
        <f t="shared" si="61"/>
        <v>0.3726</v>
      </c>
      <c r="I452" s="25">
        <f t="shared" si="62"/>
        <v>0.5714285714</v>
      </c>
      <c r="J452" s="24">
        <f t="shared" si="63"/>
        <v>0.5948416754</v>
      </c>
      <c r="K452" s="24">
        <f t="shared" si="64"/>
        <v>0.3595448374</v>
      </c>
      <c r="L452" s="24">
        <f t="shared" si="5"/>
        <v>1.014899248</v>
      </c>
    </row>
    <row r="453">
      <c r="A453" s="20" t="s">
        <v>18</v>
      </c>
      <c r="B453" s="7" t="s">
        <v>39</v>
      </c>
      <c r="C453" s="7">
        <v>23.0</v>
      </c>
      <c r="D453" s="96">
        <v>0.94</v>
      </c>
      <c r="E453" s="74">
        <v>0.76</v>
      </c>
      <c r="F453" s="7">
        <v>0.005</v>
      </c>
      <c r="G453" s="23">
        <v>226.737919504999</v>
      </c>
      <c r="H453" s="24">
        <f t="shared" si="61"/>
        <v>0.207</v>
      </c>
      <c r="I453" s="25">
        <f t="shared" si="62"/>
        <v>0</v>
      </c>
      <c r="J453" s="24">
        <f t="shared" si="63"/>
        <v>0.1249092233</v>
      </c>
      <c r="K453" s="24">
        <f t="shared" si="64"/>
        <v>0.8010281908</v>
      </c>
      <c r="L453" s="24">
        <f t="shared" si="5"/>
        <v>1.124909223</v>
      </c>
    </row>
    <row r="454">
      <c r="A454" s="20" t="s">
        <v>18</v>
      </c>
      <c r="B454" s="7" t="s">
        <v>39</v>
      </c>
      <c r="C454" s="7">
        <v>24.0</v>
      </c>
      <c r="D454" s="96">
        <v>0.94</v>
      </c>
      <c r="E454" s="74">
        <v>0.76</v>
      </c>
      <c r="F454" s="7">
        <v>0.005</v>
      </c>
      <c r="G454" s="23">
        <v>224.890168142999</v>
      </c>
      <c r="H454" s="24">
        <f t="shared" si="61"/>
        <v>0.207</v>
      </c>
      <c r="I454" s="25">
        <f t="shared" si="62"/>
        <v>0</v>
      </c>
      <c r="J454" s="24">
        <f t="shared" si="63"/>
        <v>0.1186554965</v>
      </c>
      <c r="K454" s="24">
        <f t="shared" si="64"/>
        <v>0.8055062553</v>
      </c>
      <c r="L454" s="24">
        <f t="shared" si="5"/>
        <v>1.118655497</v>
      </c>
    </row>
    <row r="455">
      <c r="A455" s="20" t="s">
        <v>18</v>
      </c>
      <c r="B455" s="7" t="s">
        <v>39</v>
      </c>
      <c r="C455" s="7">
        <v>25.0</v>
      </c>
      <c r="D455" s="96">
        <v>0.94</v>
      </c>
      <c r="E455" s="74">
        <v>0.8</v>
      </c>
      <c r="F455" s="7">
        <v>0.006</v>
      </c>
      <c r="G455" s="23">
        <v>236.152158146</v>
      </c>
      <c r="H455" s="24">
        <f t="shared" si="61"/>
        <v>0.2484</v>
      </c>
      <c r="I455" s="25">
        <f t="shared" si="62"/>
        <v>0.1428571429</v>
      </c>
      <c r="J455" s="24">
        <f t="shared" si="63"/>
        <v>0.1567717768</v>
      </c>
      <c r="K455" s="24">
        <f t="shared" si="64"/>
        <v>0.681593825</v>
      </c>
      <c r="L455" s="24">
        <f t="shared" si="5"/>
        <v>1.012175305</v>
      </c>
    </row>
    <row r="456">
      <c r="A456" s="20" t="s">
        <v>18</v>
      </c>
      <c r="B456" s="7" t="s">
        <v>39</v>
      </c>
      <c r="C456" s="7">
        <v>26.0</v>
      </c>
      <c r="D456" s="96">
        <v>0.94</v>
      </c>
      <c r="E456" s="74">
        <v>0.68</v>
      </c>
      <c r="F456" s="7">
        <v>0.005</v>
      </c>
      <c r="G456" s="23">
        <v>201.865175239999</v>
      </c>
      <c r="H456" s="24">
        <f t="shared" si="61"/>
        <v>0.207</v>
      </c>
      <c r="I456" s="25">
        <f t="shared" si="62"/>
        <v>0</v>
      </c>
      <c r="J456" s="24">
        <f t="shared" si="63"/>
        <v>0.04072725443</v>
      </c>
      <c r="K456" s="24">
        <f t="shared" si="64"/>
        <v>0.8658214687</v>
      </c>
      <c r="L456" s="24">
        <f t="shared" si="5"/>
        <v>1.040727254</v>
      </c>
    </row>
    <row r="457">
      <c r="A457" s="20" t="s">
        <v>18</v>
      </c>
      <c r="B457" s="7" t="s">
        <v>39</v>
      </c>
      <c r="C457" s="7">
        <v>27.0</v>
      </c>
      <c r="D457" s="96">
        <v>0.94</v>
      </c>
      <c r="E457" s="74">
        <v>0.78</v>
      </c>
      <c r="F457" s="7">
        <v>0.006</v>
      </c>
      <c r="G457" s="23">
        <v>231.78571153</v>
      </c>
      <c r="H457" s="24">
        <f t="shared" si="61"/>
        <v>0.2484</v>
      </c>
      <c r="I457" s="25">
        <f t="shared" si="62"/>
        <v>0.1428571429</v>
      </c>
      <c r="J457" s="24">
        <f t="shared" si="63"/>
        <v>0.1419935091</v>
      </c>
      <c r="K457" s="24">
        <f t="shared" si="64"/>
        <v>0.6904141694</v>
      </c>
      <c r="L457" s="24">
        <f t="shared" si="5"/>
        <v>0.9992443205</v>
      </c>
    </row>
    <row r="458">
      <c r="A458" s="20" t="s">
        <v>18</v>
      </c>
      <c r="B458" s="7" t="s">
        <v>39</v>
      </c>
      <c r="C458" s="7">
        <v>28.0</v>
      </c>
      <c r="D458" s="96">
        <v>0.94</v>
      </c>
      <c r="E458" s="74">
        <v>0.88</v>
      </c>
      <c r="F458" s="7">
        <v>0.006</v>
      </c>
      <c r="G458" s="23">
        <v>264.945221993999</v>
      </c>
      <c r="H458" s="24">
        <f t="shared" si="61"/>
        <v>0.2484</v>
      </c>
      <c r="I458" s="25">
        <f t="shared" si="62"/>
        <v>0.1428571429</v>
      </c>
      <c r="J458" s="24">
        <f t="shared" si="63"/>
        <v>0.2542220935</v>
      </c>
      <c r="K458" s="24">
        <f t="shared" si="64"/>
        <v>0.6286354738</v>
      </c>
      <c r="L458" s="24">
        <f t="shared" si="5"/>
        <v>1.097444332</v>
      </c>
    </row>
    <row r="459">
      <c r="A459" s="20" t="s">
        <v>18</v>
      </c>
      <c r="B459" s="7" t="s">
        <v>39</v>
      </c>
      <c r="C459" s="7">
        <v>29.0</v>
      </c>
      <c r="D459" s="96">
        <v>0.94</v>
      </c>
      <c r="E459" s="74">
        <v>1.62</v>
      </c>
      <c r="F459" s="7">
        <v>0.012</v>
      </c>
      <c r="G459" s="23">
        <v>485.295772021</v>
      </c>
      <c r="H459" s="24">
        <f t="shared" si="61"/>
        <v>0.4968</v>
      </c>
      <c r="I459" s="25">
        <f t="shared" si="62"/>
        <v>1</v>
      </c>
      <c r="J459" s="24">
        <f t="shared" si="63"/>
        <v>1</v>
      </c>
      <c r="K459" s="24">
        <f t="shared" si="64"/>
        <v>0.225271</v>
      </c>
      <c r="L459" s="24">
        <f t="shared" si="5"/>
        <v>1</v>
      </c>
    </row>
    <row r="460">
      <c r="A460" s="20" t="s">
        <v>18</v>
      </c>
      <c r="B460" s="7" t="s">
        <v>39</v>
      </c>
      <c r="C460" s="7">
        <v>30.0</v>
      </c>
      <c r="D460" s="96">
        <v>0.94</v>
      </c>
      <c r="E460" s="74">
        <v>0.73</v>
      </c>
      <c r="F460" s="7">
        <v>0.005</v>
      </c>
      <c r="G460" s="23">
        <v>219.725465174999</v>
      </c>
      <c r="H460" s="24">
        <f t="shared" si="61"/>
        <v>0.207</v>
      </c>
      <c r="I460" s="25">
        <f t="shared" si="62"/>
        <v>0</v>
      </c>
      <c r="J460" s="24">
        <f t="shared" si="63"/>
        <v>0.1011755249</v>
      </c>
      <c r="K460" s="24">
        <f t="shared" si="64"/>
        <v>0.8182927968</v>
      </c>
      <c r="L460" s="24">
        <f t="shared" si="5"/>
        <v>1.101175525</v>
      </c>
    </row>
    <row r="461">
      <c r="A461" s="20" t="s">
        <v>18</v>
      </c>
      <c r="B461" s="7" t="s">
        <v>39</v>
      </c>
      <c r="C461" s="7">
        <v>31.0</v>
      </c>
      <c r="D461" s="96">
        <v>0.94</v>
      </c>
      <c r="E461" s="74">
        <v>1.18</v>
      </c>
      <c r="F461" s="7">
        <v>0.009</v>
      </c>
      <c r="G461" s="23">
        <v>355.048827838998</v>
      </c>
      <c r="H461" s="24">
        <f t="shared" si="61"/>
        <v>0.3726</v>
      </c>
      <c r="I461" s="25">
        <f t="shared" si="62"/>
        <v>0.5714285714</v>
      </c>
      <c r="J461" s="24">
        <f t="shared" si="63"/>
        <v>0.5591783485</v>
      </c>
      <c r="K461" s="24">
        <f t="shared" si="64"/>
        <v>0.367768762</v>
      </c>
      <c r="L461" s="24">
        <f t="shared" si="5"/>
        <v>0.9922044036</v>
      </c>
    </row>
    <row r="462">
      <c r="A462" s="20" t="s">
        <v>18</v>
      </c>
      <c r="B462" s="7" t="s">
        <v>39</v>
      </c>
      <c r="C462" s="7">
        <v>32.0</v>
      </c>
      <c r="D462" s="96">
        <v>0.94</v>
      </c>
      <c r="E462" s="74">
        <v>0.93</v>
      </c>
      <c r="F462" s="7">
        <v>0.007</v>
      </c>
      <c r="G462" s="23">
        <v>277.162321554</v>
      </c>
      <c r="H462" s="24">
        <f t="shared" si="61"/>
        <v>0.2898</v>
      </c>
      <c r="I462" s="25">
        <f t="shared" si="62"/>
        <v>0.2857142857</v>
      </c>
      <c r="J462" s="24">
        <f t="shared" si="63"/>
        <v>0.2955709484</v>
      </c>
      <c r="K462" s="24">
        <f t="shared" si="64"/>
        <v>0.5409530925</v>
      </c>
      <c r="L462" s="24">
        <f t="shared" si="5"/>
        <v>1.007666293</v>
      </c>
    </row>
    <row r="463">
      <c r="A463" s="20" t="s">
        <v>18</v>
      </c>
      <c r="B463" s="7" t="s">
        <v>39</v>
      </c>
      <c r="C463" s="7">
        <v>33.0</v>
      </c>
      <c r="D463" s="96">
        <v>0.94</v>
      </c>
      <c r="E463" s="74">
        <v>0.66</v>
      </c>
      <c r="F463" s="7">
        <v>0.005</v>
      </c>
      <c r="G463" s="23">
        <v>195.899076016999</v>
      </c>
      <c r="H463" s="24">
        <f t="shared" si="61"/>
        <v>0.207</v>
      </c>
      <c r="I463" s="25">
        <f t="shared" si="62"/>
        <v>0</v>
      </c>
      <c r="J463" s="24">
        <f t="shared" si="63"/>
        <v>0.02053495181</v>
      </c>
      <c r="K463" s="24">
        <f t="shared" si="64"/>
        <v>0.8829526107</v>
      </c>
      <c r="L463" s="24">
        <f t="shared" si="5"/>
        <v>1.020534952</v>
      </c>
    </row>
    <row r="464">
      <c r="A464" s="57" t="s">
        <v>18</v>
      </c>
      <c r="B464" s="58" t="s">
        <v>40</v>
      </c>
      <c r="C464" s="7">
        <v>1.0</v>
      </c>
      <c r="D464" s="96">
        <v>0.94</v>
      </c>
      <c r="E464" s="74">
        <v>2.29</v>
      </c>
      <c r="F464" s="7">
        <v>0.005</v>
      </c>
      <c r="G464" s="23">
        <v>206.184762409</v>
      </c>
      <c r="H464" s="24">
        <f t="shared" ref="H464:H496" si="65">F464*477/5</f>
        <v>0.477</v>
      </c>
      <c r="I464" s="25">
        <f t="shared" ref="I464:I496" si="66">(H464-MIN($H$464:$H$496))/(MAX($H$464:$H$496)-MIN($H$464:$H$496))</f>
        <v>0.2857142857</v>
      </c>
      <c r="J464" s="24">
        <f t="shared" ref="J464:J496" si="67">(G464-MIN($G$464:$G$496))/(MAX($G$464:$G$496)-MIN($G$464:$G$496))</f>
        <v>0.2969578917</v>
      </c>
      <c r="K464" s="24">
        <f t="shared" ref="K464:K496" si="68">0.94*(1/(1+I464))*(1/(1+J464))*(1-0)</f>
        <v>0.5637122961</v>
      </c>
      <c r="L464" s="24">
        <f t="shared" si="5"/>
        <v>1.008745027</v>
      </c>
    </row>
    <row r="465">
      <c r="A465" s="20" t="s">
        <v>18</v>
      </c>
      <c r="B465" s="7" t="s">
        <v>40</v>
      </c>
      <c r="C465" s="7">
        <v>2.0</v>
      </c>
      <c r="D465" s="96">
        <v>0.94</v>
      </c>
      <c r="E465" s="74">
        <v>2.13</v>
      </c>
      <c r="F465" s="7">
        <v>0.005</v>
      </c>
      <c r="G465" s="23">
        <v>185.414611366999</v>
      </c>
      <c r="H465" s="24">
        <f t="shared" si="65"/>
        <v>0.477</v>
      </c>
      <c r="I465" s="25">
        <f t="shared" si="66"/>
        <v>0.2857142857</v>
      </c>
      <c r="J465" s="24">
        <f t="shared" si="67"/>
        <v>0.2163331794</v>
      </c>
      <c r="K465" s="24">
        <f t="shared" si="68"/>
        <v>0.601077997</v>
      </c>
      <c r="L465" s="24">
        <f t="shared" si="5"/>
        <v>0.9460369173</v>
      </c>
    </row>
    <row r="466">
      <c r="A466" s="20" t="s">
        <v>18</v>
      </c>
      <c r="B466" s="7" t="s">
        <v>40</v>
      </c>
      <c r="C466" s="7">
        <v>3.0</v>
      </c>
      <c r="D466" s="96">
        <v>0.94</v>
      </c>
      <c r="E466" s="74">
        <v>2.35</v>
      </c>
      <c r="F466" s="7">
        <v>0.005</v>
      </c>
      <c r="G466" s="23">
        <v>200.311033222999</v>
      </c>
      <c r="H466" s="24">
        <f t="shared" si="65"/>
        <v>0.477</v>
      </c>
      <c r="I466" s="25">
        <f t="shared" si="66"/>
        <v>0.2857142857</v>
      </c>
      <c r="J466" s="24">
        <f t="shared" si="67"/>
        <v>0.2741574929</v>
      </c>
      <c r="K466" s="24">
        <f t="shared" si="68"/>
        <v>0.5737996403</v>
      </c>
      <c r="L466" s="24">
        <f t="shared" si="5"/>
        <v>0.9910113834</v>
      </c>
    </row>
    <row r="467">
      <c r="A467" s="20" t="s">
        <v>18</v>
      </c>
      <c r="B467" s="7" t="s">
        <v>40</v>
      </c>
      <c r="C467" s="7">
        <v>4.0</v>
      </c>
      <c r="D467" s="96">
        <v>0.94</v>
      </c>
      <c r="E467" s="74">
        <v>3.44</v>
      </c>
      <c r="F467" s="7">
        <v>0.007</v>
      </c>
      <c r="G467" s="23">
        <v>291.82130024</v>
      </c>
      <c r="H467" s="24">
        <f t="shared" si="65"/>
        <v>0.6678</v>
      </c>
      <c r="I467" s="25">
        <f t="shared" si="66"/>
        <v>0.5714285714</v>
      </c>
      <c r="J467" s="24">
        <f t="shared" si="67"/>
        <v>0.6293782581</v>
      </c>
      <c r="K467" s="24">
        <f t="shared" si="68"/>
        <v>0.3671227446</v>
      </c>
      <c r="L467" s="24">
        <f t="shared" si="5"/>
        <v>1.036877073</v>
      </c>
    </row>
    <row r="468">
      <c r="A468" s="20" t="s">
        <v>18</v>
      </c>
      <c r="B468" s="7" t="s">
        <v>40</v>
      </c>
      <c r="C468" s="7">
        <v>5.0</v>
      </c>
      <c r="D468" s="96">
        <v>0.94</v>
      </c>
      <c r="E468" s="74">
        <v>2.26</v>
      </c>
      <c r="F468" s="7">
        <v>0.005</v>
      </c>
      <c r="G468" s="23">
        <v>193.485832935999</v>
      </c>
      <c r="H468" s="24">
        <f t="shared" si="65"/>
        <v>0.477</v>
      </c>
      <c r="I468" s="25">
        <f t="shared" si="66"/>
        <v>0.2857142857</v>
      </c>
      <c r="J468" s="24">
        <f t="shared" si="67"/>
        <v>0.2476637131</v>
      </c>
      <c r="K468" s="24">
        <f t="shared" si="68"/>
        <v>0.5859841105</v>
      </c>
      <c r="L468" s="24">
        <f t="shared" si="5"/>
        <v>0.9704051102</v>
      </c>
    </row>
    <row r="469">
      <c r="A469" s="20" t="s">
        <v>18</v>
      </c>
      <c r="B469" s="7" t="s">
        <v>40</v>
      </c>
      <c r="C469" s="7">
        <v>6.0</v>
      </c>
      <c r="D469" s="96">
        <v>0.94</v>
      </c>
      <c r="E469" s="74">
        <v>2.38</v>
      </c>
      <c r="F469" s="7">
        <v>0.005</v>
      </c>
      <c r="G469" s="23">
        <v>202.793828482</v>
      </c>
      <c r="H469" s="24">
        <f t="shared" si="65"/>
        <v>0.477</v>
      </c>
      <c r="I469" s="25">
        <f t="shared" si="66"/>
        <v>0.2857142857</v>
      </c>
      <c r="J469" s="24">
        <f t="shared" si="67"/>
        <v>0.2837951048</v>
      </c>
      <c r="K469" s="24">
        <f t="shared" si="68"/>
        <v>0.569492054</v>
      </c>
      <c r="L469" s="24">
        <f t="shared" si="5"/>
        <v>0.9985073037</v>
      </c>
    </row>
    <row r="470">
      <c r="A470" s="20" t="s">
        <v>18</v>
      </c>
      <c r="B470" s="7" t="s">
        <v>40</v>
      </c>
      <c r="C470" s="7">
        <v>7.0</v>
      </c>
      <c r="D470" s="96">
        <v>0.94</v>
      </c>
      <c r="E470" s="74">
        <v>2.52</v>
      </c>
      <c r="F470" s="7">
        <v>0.005</v>
      </c>
      <c r="G470" s="23">
        <v>214.144239197999</v>
      </c>
      <c r="H470" s="24">
        <f t="shared" si="65"/>
        <v>0.477</v>
      </c>
      <c r="I470" s="25">
        <f t="shared" si="66"/>
        <v>0.2857142857</v>
      </c>
      <c r="J470" s="24">
        <f t="shared" si="67"/>
        <v>0.3278546591</v>
      </c>
      <c r="K470" s="24">
        <f t="shared" si="68"/>
        <v>0.5505957343</v>
      </c>
      <c r="L470" s="24">
        <f t="shared" si="5"/>
        <v>1.032775846</v>
      </c>
    </row>
    <row r="471">
      <c r="A471" s="20" t="s">
        <v>18</v>
      </c>
      <c r="B471" s="7" t="s">
        <v>40</v>
      </c>
      <c r="C471" s="7">
        <v>8.0</v>
      </c>
      <c r="D471" s="96">
        <v>0.94</v>
      </c>
      <c r="E471" s="74">
        <v>1.52</v>
      </c>
      <c r="F471" s="7">
        <v>0.003</v>
      </c>
      <c r="G471" s="23">
        <v>129.683896971999</v>
      </c>
      <c r="H471" s="24">
        <f t="shared" si="65"/>
        <v>0.2862</v>
      </c>
      <c r="I471" s="25">
        <f t="shared" si="66"/>
        <v>0</v>
      </c>
      <c r="J471" s="24">
        <f t="shared" si="67"/>
        <v>0</v>
      </c>
      <c r="K471" s="24">
        <f t="shared" si="68"/>
        <v>0.94</v>
      </c>
      <c r="L471" s="24">
        <f t="shared" si="5"/>
        <v>1</v>
      </c>
    </row>
    <row r="472">
      <c r="A472" s="20" t="s">
        <v>18</v>
      </c>
      <c r="B472" s="7" t="s">
        <v>40</v>
      </c>
      <c r="C472" s="7">
        <v>9.0</v>
      </c>
      <c r="D472" s="96">
        <v>0.94</v>
      </c>
      <c r="E472" s="74">
        <v>2.14</v>
      </c>
      <c r="F472" s="7">
        <v>0.005</v>
      </c>
      <c r="G472" s="23">
        <v>182.052838249999</v>
      </c>
      <c r="H472" s="24">
        <f t="shared" si="65"/>
        <v>0.477</v>
      </c>
      <c r="I472" s="25">
        <f t="shared" si="66"/>
        <v>0.2857142857</v>
      </c>
      <c r="J472" s="24">
        <f t="shared" si="67"/>
        <v>0.2032835877</v>
      </c>
      <c r="K472" s="24">
        <f t="shared" si="68"/>
        <v>0.6075966784</v>
      </c>
      <c r="L472" s="24">
        <f t="shared" si="5"/>
        <v>0.9358872349</v>
      </c>
    </row>
    <row r="473">
      <c r="A473" s="20" t="s">
        <v>18</v>
      </c>
      <c r="B473" s="7" t="s">
        <v>40</v>
      </c>
      <c r="C473" s="7">
        <v>10.0</v>
      </c>
      <c r="D473" s="96">
        <v>0.94</v>
      </c>
      <c r="E473" s="74">
        <v>2.13</v>
      </c>
      <c r="F473" s="7">
        <v>0.005</v>
      </c>
      <c r="G473" s="23">
        <v>181.60014193</v>
      </c>
      <c r="H473" s="24">
        <f t="shared" si="65"/>
        <v>0.477</v>
      </c>
      <c r="I473" s="25">
        <f t="shared" si="66"/>
        <v>0.2857142857</v>
      </c>
      <c r="J473" s="24">
        <f t="shared" si="67"/>
        <v>0.2015263299</v>
      </c>
      <c r="K473" s="24">
        <f t="shared" si="68"/>
        <v>0.6084853015</v>
      </c>
      <c r="L473" s="24">
        <f t="shared" si="5"/>
        <v>0.9345204788</v>
      </c>
    </row>
    <row r="474">
      <c r="A474" s="20" t="s">
        <v>18</v>
      </c>
      <c r="B474" s="7" t="s">
        <v>40</v>
      </c>
      <c r="C474" s="7">
        <v>11.0</v>
      </c>
      <c r="D474" s="96">
        <v>0.94</v>
      </c>
      <c r="E474" s="74">
        <v>2.24</v>
      </c>
      <c r="F474" s="7">
        <v>0.005</v>
      </c>
      <c r="G474" s="23">
        <v>191.270349018999</v>
      </c>
      <c r="H474" s="24">
        <f t="shared" si="65"/>
        <v>0.477</v>
      </c>
      <c r="I474" s="25">
        <f t="shared" si="66"/>
        <v>0.2857142857</v>
      </c>
      <c r="J474" s="24">
        <f t="shared" si="67"/>
        <v>0.2390637393</v>
      </c>
      <c r="K474" s="24">
        <f t="shared" si="68"/>
        <v>0.5900512523</v>
      </c>
      <c r="L474" s="24">
        <f t="shared" si="5"/>
        <v>0.9637162417</v>
      </c>
    </row>
    <row r="475">
      <c r="A475" s="20" t="s">
        <v>18</v>
      </c>
      <c r="B475" s="7" t="s">
        <v>40</v>
      </c>
      <c r="C475" s="7">
        <v>12.0</v>
      </c>
      <c r="D475" s="96">
        <v>0.94</v>
      </c>
      <c r="E475" s="74">
        <v>2.0</v>
      </c>
      <c r="F475" s="7">
        <v>0.004</v>
      </c>
      <c r="G475" s="23">
        <v>170.28106925</v>
      </c>
      <c r="H475" s="24">
        <f t="shared" si="65"/>
        <v>0.3816</v>
      </c>
      <c r="I475" s="25">
        <f t="shared" si="66"/>
        <v>0.1428571429</v>
      </c>
      <c r="J475" s="24">
        <f t="shared" si="67"/>
        <v>0.1575884223</v>
      </c>
      <c r="K475" s="24">
        <f t="shared" si="68"/>
        <v>0.7105288755</v>
      </c>
      <c r="L475" s="24">
        <f t="shared" si="5"/>
        <v>1.012889869</v>
      </c>
    </row>
    <row r="476">
      <c r="A476" s="20" t="s">
        <v>18</v>
      </c>
      <c r="B476" s="7" t="s">
        <v>40</v>
      </c>
      <c r="C476" s="7">
        <v>13.0</v>
      </c>
      <c r="D476" s="96">
        <v>0.94</v>
      </c>
      <c r="E476" s="74">
        <v>2.51</v>
      </c>
      <c r="F476" s="7">
        <v>0.005</v>
      </c>
      <c r="G476" s="23">
        <v>213.786193025</v>
      </c>
      <c r="H476" s="24">
        <f t="shared" si="65"/>
        <v>0.477</v>
      </c>
      <c r="I476" s="25">
        <f t="shared" si="66"/>
        <v>0.2857142857</v>
      </c>
      <c r="J476" s="24">
        <f t="shared" si="67"/>
        <v>0.3264648103</v>
      </c>
      <c r="K476" s="24">
        <f t="shared" si="68"/>
        <v>0.5511726398</v>
      </c>
      <c r="L476" s="24">
        <f t="shared" si="5"/>
        <v>1.031694852</v>
      </c>
    </row>
    <row r="477">
      <c r="A477" s="20" t="s">
        <v>18</v>
      </c>
      <c r="B477" s="7" t="s">
        <v>40</v>
      </c>
      <c r="C477" s="7">
        <v>14.0</v>
      </c>
      <c r="D477" s="96">
        <v>0.94</v>
      </c>
      <c r="E477" s="74">
        <v>2.61</v>
      </c>
      <c r="F477" s="7">
        <v>0.006</v>
      </c>
      <c r="G477" s="23">
        <v>221.606141138</v>
      </c>
      <c r="H477" s="24">
        <f t="shared" si="65"/>
        <v>0.5724</v>
      </c>
      <c r="I477" s="25">
        <f t="shared" si="66"/>
        <v>0.4285714286</v>
      </c>
      <c r="J477" s="24">
        <f t="shared" si="67"/>
        <v>0.356819961</v>
      </c>
      <c r="K477" s="24">
        <f t="shared" si="68"/>
        <v>0.484957488</v>
      </c>
      <c r="L477" s="24">
        <f t="shared" si="5"/>
        <v>0.9497739727</v>
      </c>
    </row>
    <row r="478">
      <c r="A478" s="20" t="s">
        <v>18</v>
      </c>
      <c r="B478" s="7" t="s">
        <v>40</v>
      </c>
      <c r="C478" s="7">
        <v>15.0</v>
      </c>
      <c r="D478" s="96">
        <v>0.94</v>
      </c>
      <c r="E478" s="74">
        <v>2.52</v>
      </c>
      <c r="F478" s="7">
        <v>0.005</v>
      </c>
      <c r="G478" s="23">
        <v>213.630400459</v>
      </c>
      <c r="H478" s="24">
        <f t="shared" si="65"/>
        <v>0.477</v>
      </c>
      <c r="I478" s="25">
        <f t="shared" si="66"/>
        <v>0.2857142857</v>
      </c>
      <c r="J478" s="24">
        <f t="shared" si="67"/>
        <v>0.3258600611</v>
      </c>
      <c r="K478" s="24">
        <f t="shared" si="68"/>
        <v>0.5514240398</v>
      </c>
      <c r="L478" s="24">
        <f t="shared" si="5"/>
        <v>1.031224492</v>
      </c>
    </row>
    <row r="479">
      <c r="A479" s="20" t="s">
        <v>18</v>
      </c>
      <c r="B479" s="7" t="s">
        <v>40</v>
      </c>
      <c r="C479" s="7">
        <v>16.0</v>
      </c>
      <c r="D479" s="96">
        <v>0.94</v>
      </c>
      <c r="E479" s="74">
        <v>2.51</v>
      </c>
      <c r="F479" s="7">
        <v>0.005</v>
      </c>
      <c r="G479" s="23">
        <v>213.059042811</v>
      </c>
      <c r="H479" s="24">
        <f t="shared" si="65"/>
        <v>0.477</v>
      </c>
      <c r="I479" s="25">
        <f t="shared" si="66"/>
        <v>0.2857142857</v>
      </c>
      <c r="J479" s="24">
        <f t="shared" si="67"/>
        <v>0.3236421887</v>
      </c>
      <c r="K479" s="24">
        <f t="shared" si="68"/>
        <v>0.5523479966</v>
      </c>
      <c r="L479" s="24">
        <f t="shared" si="5"/>
        <v>1.02949948</v>
      </c>
    </row>
    <row r="480">
      <c r="A480" s="20" t="s">
        <v>18</v>
      </c>
      <c r="B480" s="7" t="s">
        <v>40</v>
      </c>
      <c r="C480" s="7">
        <v>17.0</v>
      </c>
      <c r="D480" s="96">
        <v>0.94</v>
      </c>
      <c r="E480" s="74">
        <v>2.66</v>
      </c>
      <c r="F480" s="7">
        <v>0.006</v>
      </c>
      <c r="G480" s="23">
        <v>226.304412303</v>
      </c>
      <c r="H480" s="24">
        <f t="shared" si="65"/>
        <v>0.5724</v>
      </c>
      <c r="I480" s="25">
        <f t="shared" si="66"/>
        <v>0.4285714286</v>
      </c>
      <c r="J480" s="24">
        <f t="shared" si="67"/>
        <v>0.3750575155</v>
      </c>
      <c r="K480" s="24">
        <f t="shared" si="68"/>
        <v>0.4785254381</v>
      </c>
      <c r="L480" s="24">
        <f t="shared" si="5"/>
        <v>0.9625402608</v>
      </c>
    </row>
    <row r="481">
      <c r="A481" s="20" t="s">
        <v>18</v>
      </c>
      <c r="B481" s="7" t="s">
        <v>40</v>
      </c>
      <c r="C481" s="7">
        <v>18.0</v>
      </c>
      <c r="D481" s="96">
        <v>0.94</v>
      </c>
      <c r="E481" s="74">
        <v>2.94</v>
      </c>
      <c r="F481" s="7">
        <v>0.006</v>
      </c>
      <c r="G481" s="23">
        <v>249.664004186999</v>
      </c>
      <c r="H481" s="24">
        <f t="shared" si="65"/>
        <v>0.5724</v>
      </c>
      <c r="I481" s="25">
        <f t="shared" si="66"/>
        <v>0.4285714286</v>
      </c>
      <c r="J481" s="24">
        <f t="shared" si="67"/>
        <v>0.465733812</v>
      </c>
      <c r="K481" s="24">
        <f t="shared" si="68"/>
        <v>0.4489218947</v>
      </c>
      <c r="L481" s="24">
        <f t="shared" si="5"/>
        <v>1.026013668</v>
      </c>
    </row>
    <row r="482">
      <c r="A482" s="20" t="s">
        <v>18</v>
      </c>
      <c r="B482" s="7" t="s">
        <v>40</v>
      </c>
      <c r="C482" s="7">
        <v>19.0</v>
      </c>
      <c r="D482" s="96">
        <v>0.94</v>
      </c>
      <c r="E482" s="74">
        <v>3.72</v>
      </c>
      <c r="F482" s="7">
        <v>0.008</v>
      </c>
      <c r="G482" s="23">
        <v>315.206932635</v>
      </c>
      <c r="H482" s="24">
        <f t="shared" si="65"/>
        <v>0.7632</v>
      </c>
      <c r="I482" s="25">
        <f t="shared" si="66"/>
        <v>0.7142857143</v>
      </c>
      <c r="J482" s="24">
        <f t="shared" si="67"/>
        <v>0.7201556376</v>
      </c>
      <c r="K482" s="24">
        <f t="shared" si="68"/>
        <v>0.3187696051</v>
      </c>
      <c r="L482" s="24">
        <f t="shared" si="5"/>
        <v>1.003424122</v>
      </c>
    </row>
    <row r="483">
      <c r="A483" s="20" t="s">
        <v>18</v>
      </c>
      <c r="B483" s="7" t="s">
        <v>40</v>
      </c>
      <c r="C483" s="7">
        <v>20.0</v>
      </c>
      <c r="D483" s="96">
        <v>0.94</v>
      </c>
      <c r="E483" s="74">
        <v>2.39</v>
      </c>
      <c r="F483" s="7">
        <v>0.005</v>
      </c>
      <c r="G483" s="23">
        <v>203.274292379999</v>
      </c>
      <c r="H483" s="24">
        <f t="shared" si="65"/>
        <v>0.477</v>
      </c>
      <c r="I483" s="25">
        <f t="shared" si="66"/>
        <v>0.2857142857</v>
      </c>
      <c r="J483" s="24">
        <f t="shared" si="67"/>
        <v>0.2856601496</v>
      </c>
      <c r="K483" s="24">
        <f t="shared" si="68"/>
        <v>0.5686659195</v>
      </c>
      <c r="L483" s="24">
        <f t="shared" si="5"/>
        <v>0.9999578941</v>
      </c>
    </row>
    <row r="484">
      <c r="A484" s="20" t="s">
        <v>18</v>
      </c>
      <c r="B484" s="7" t="s">
        <v>40</v>
      </c>
      <c r="C484" s="7">
        <v>21.0</v>
      </c>
      <c r="D484" s="96">
        <v>0.94</v>
      </c>
      <c r="E484" s="74">
        <v>2.29</v>
      </c>
      <c r="F484" s="7">
        <v>0.005</v>
      </c>
      <c r="G484" s="23">
        <v>194.668870816999</v>
      </c>
      <c r="H484" s="24">
        <f t="shared" si="65"/>
        <v>0.477</v>
      </c>
      <c r="I484" s="25">
        <f t="shared" si="66"/>
        <v>0.2857142857</v>
      </c>
      <c r="J484" s="24">
        <f t="shared" si="67"/>
        <v>0.2522559805</v>
      </c>
      <c r="K484" s="24">
        <f t="shared" si="68"/>
        <v>0.5838351922</v>
      </c>
      <c r="L484" s="24">
        <f t="shared" si="5"/>
        <v>0.9739768737</v>
      </c>
    </row>
    <row r="485">
      <c r="A485" s="20" t="s">
        <v>18</v>
      </c>
      <c r="B485" s="7" t="s">
        <v>40</v>
      </c>
      <c r="C485" s="7">
        <v>22.0</v>
      </c>
      <c r="D485" s="96">
        <v>0.94</v>
      </c>
      <c r="E485" s="74">
        <v>4.56</v>
      </c>
      <c r="F485" s="7">
        <v>0.01</v>
      </c>
      <c r="G485" s="23">
        <v>387.299092885</v>
      </c>
      <c r="H485" s="24">
        <f t="shared" si="65"/>
        <v>0.954</v>
      </c>
      <c r="I485" s="25">
        <f t="shared" si="66"/>
        <v>1</v>
      </c>
      <c r="J485" s="24">
        <f t="shared" si="67"/>
        <v>1</v>
      </c>
      <c r="K485" s="24">
        <f t="shared" si="68"/>
        <v>0.235</v>
      </c>
      <c r="L485" s="24">
        <f t="shared" si="5"/>
        <v>1</v>
      </c>
    </row>
    <row r="486">
      <c r="A486" s="20" t="s">
        <v>18</v>
      </c>
      <c r="B486" s="7" t="s">
        <v>40</v>
      </c>
      <c r="C486" s="7">
        <v>23.0</v>
      </c>
      <c r="D486" s="96">
        <v>0.94</v>
      </c>
      <c r="E486" s="74">
        <v>2.47</v>
      </c>
      <c r="F486" s="7">
        <v>0.005</v>
      </c>
      <c r="G486" s="23">
        <v>210.708864124999</v>
      </c>
      <c r="H486" s="24">
        <f t="shared" si="65"/>
        <v>0.477</v>
      </c>
      <c r="I486" s="25">
        <f t="shared" si="66"/>
        <v>0.2857142857</v>
      </c>
      <c r="J486" s="24">
        <f t="shared" si="67"/>
        <v>0.3145193624</v>
      </c>
      <c r="K486" s="24">
        <f t="shared" si="68"/>
        <v>0.5561813177</v>
      </c>
      <c r="L486" s="24">
        <f t="shared" si="5"/>
        <v>1.022403949</v>
      </c>
    </row>
    <row r="487">
      <c r="A487" s="20" t="s">
        <v>18</v>
      </c>
      <c r="B487" s="7" t="s">
        <v>40</v>
      </c>
      <c r="C487" s="7">
        <v>24.0</v>
      </c>
      <c r="D487" s="96">
        <v>0.94</v>
      </c>
      <c r="E487" s="74">
        <v>2.58</v>
      </c>
      <c r="F487" s="7">
        <v>0.005</v>
      </c>
      <c r="G487" s="23">
        <v>220.646821583</v>
      </c>
      <c r="H487" s="24">
        <f t="shared" si="65"/>
        <v>0.477</v>
      </c>
      <c r="I487" s="25">
        <f t="shared" si="66"/>
        <v>0.2857142857</v>
      </c>
      <c r="J487" s="24">
        <f t="shared" si="67"/>
        <v>0.3530961141</v>
      </c>
      <c r="K487" s="24">
        <f t="shared" si="68"/>
        <v>0.5403245959</v>
      </c>
      <c r="L487" s="24">
        <f t="shared" si="5"/>
        <v>1.052408089</v>
      </c>
    </row>
    <row r="488">
      <c r="A488" s="20" t="s">
        <v>18</v>
      </c>
      <c r="B488" s="7" t="s">
        <v>40</v>
      </c>
      <c r="C488" s="7">
        <v>25.0</v>
      </c>
      <c r="D488" s="96">
        <v>0.94</v>
      </c>
      <c r="E488" s="74">
        <v>3.55</v>
      </c>
      <c r="F488" s="7">
        <v>0.008</v>
      </c>
      <c r="G488" s="23">
        <v>301.109008364999</v>
      </c>
      <c r="H488" s="24">
        <f t="shared" si="65"/>
        <v>0.7632</v>
      </c>
      <c r="I488" s="25">
        <f t="shared" si="66"/>
        <v>0.7142857143</v>
      </c>
      <c r="J488" s="24">
        <f t="shared" si="67"/>
        <v>0.6654308989</v>
      </c>
      <c r="K488" s="24">
        <f t="shared" si="68"/>
        <v>0.3292441216</v>
      </c>
      <c r="L488" s="24">
        <f t="shared" si="5"/>
        <v>0.9715013577</v>
      </c>
    </row>
    <row r="489">
      <c r="A489" s="20" t="s">
        <v>18</v>
      </c>
      <c r="B489" s="7" t="s">
        <v>40</v>
      </c>
      <c r="C489" s="7">
        <v>26.0</v>
      </c>
      <c r="D489" s="96">
        <v>0.94</v>
      </c>
      <c r="E489" s="74">
        <v>3.14</v>
      </c>
      <c r="F489" s="7">
        <v>0.007</v>
      </c>
      <c r="G489" s="23">
        <v>266.322540538999</v>
      </c>
      <c r="H489" s="24">
        <f t="shared" si="65"/>
        <v>0.6678</v>
      </c>
      <c r="I489" s="25">
        <f t="shared" si="66"/>
        <v>0.5714285714</v>
      </c>
      <c r="J489" s="24">
        <f t="shared" si="67"/>
        <v>0.5303982286</v>
      </c>
      <c r="K489" s="24">
        <f t="shared" si="68"/>
        <v>0.3908667738</v>
      </c>
      <c r="L489" s="24">
        <f t="shared" si="5"/>
        <v>0.9738897818</v>
      </c>
    </row>
    <row r="490">
      <c r="A490" s="20" t="s">
        <v>18</v>
      </c>
      <c r="B490" s="7" t="s">
        <v>40</v>
      </c>
      <c r="C490" s="7">
        <v>27.0</v>
      </c>
      <c r="D490" s="96">
        <v>0.94</v>
      </c>
      <c r="E490" s="74">
        <v>2.73</v>
      </c>
      <c r="F490" s="7">
        <v>0.006</v>
      </c>
      <c r="G490" s="23">
        <v>231.884965752</v>
      </c>
      <c r="H490" s="24">
        <f t="shared" si="65"/>
        <v>0.5724</v>
      </c>
      <c r="I490" s="25">
        <f t="shared" si="66"/>
        <v>0.4285714286</v>
      </c>
      <c r="J490" s="24">
        <f t="shared" si="67"/>
        <v>0.3967198768</v>
      </c>
      <c r="K490" s="24">
        <f t="shared" si="68"/>
        <v>0.4711037703</v>
      </c>
      <c r="L490" s="24">
        <f t="shared" si="5"/>
        <v>0.9777039137</v>
      </c>
    </row>
    <row r="491">
      <c r="A491" s="20" t="s">
        <v>18</v>
      </c>
      <c r="B491" s="7" t="s">
        <v>40</v>
      </c>
      <c r="C491" s="7">
        <v>28.0</v>
      </c>
      <c r="D491" s="96">
        <v>0.94</v>
      </c>
      <c r="E491" s="74">
        <v>2.68</v>
      </c>
      <c r="F491" s="7">
        <v>0.006</v>
      </c>
      <c r="G491" s="23">
        <v>228.072532596</v>
      </c>
      <c r="H491" s="24">
        <f t="shared" si="65"/>
        <v>0.5724</v>
      </c>
      <c r="I491" s="25">
        <f t="shared" si="66"/>
        <v>0.4285714286</v>
      </c>
      <c r="J491" s="24">
        <f t="shared" si="67"/>
        <v>0.3819209316</v>
      </c>
      <c r="K491" s="24">
        <f t="shared" si="68"/>
        <v>0.4761488049</v>
      </c>
      <c r="L491" s="24">
        <f t="shared" si="5"/>
        <v>0.9673446521</v>
      </c>
    </row>
    <row r="492">
      <c r="A492" s="20" t="s">
        <v>18</v>
      </c>
      <c r="B492" s="7" t="s">
        <v>40</v>
      </c>
      <c r="C492" s="7">
        <v>29.0</v>
      </c>
      <c r="D492" s="96">
        <v>0.94</v>
      </c>
      <c r="E492" s="74">
        <v>2.38</v>
      </c>
      <c r="F492" s="7">
        <v>0.005</v>
      </c>
      <c r="G492" s="23">
        <v>201.951990994</v>
      </c>
      <c r="H492" s="24">
        <f t="shared" si="65"/>
        <v>0.477</v>
      </c>
      <c r="I492" s="25">
        <f t="shared" si="66"/>
        <v>0.2857142857</v>
      </c>
      <c r="J492" s="24">
        <f t="shared" si="67"/>
        <v>0.2805272949</v>
      </c>
      <c r="K492" s="24">
        <f t="shared" si="68"/>
        <v>0.5709453551</v>
      </c>
      <c r="L492" s="24">
        <f t="shared" si="5"/>
        <v>0.9959656738</v>
      </c>
    </row>
    <row r="493">
      <c r="A493" s="20" t="s">
        <v>18</v>
      </c>
      <c r="B493" s="7" t="s">
        <v>40</v>
      </c>
      <c r="C493" s="7">
        <v>30.0</v>
      </c>
      <c r="D493" s="96">
        <v>0.94</v>
      </c>
      <c r="E493" s="74">
        <v>2.43</v>
      </c>
      <c r="F493" s="7">
        <v>0.005</v>
      </c>
      <c r="G493" s="23">
        <v>206.505911364</v>
      </c>
      <c r="H493" s="24">
        <f t="shared" si="65"/>
        <v>0.477</v>
      </c>
      <c r="I493" s="25">
        <f t="shared" si="66"/>
        <v>0.2857142857</v>
      </c>
      <c r="J493" s="24">
        <f t="shared" si="67"/>
        <v>0.2982045144</v>
      </c>
      <c r="K493" s="24">
        <f t="shared" si="68"/>
        <v>0.5631709819</v>
      </c>
      <c r="L493" s="24">
        <f t="shared" si="5"/>
        <v>1.009714622</v>
      </c>
    </row>
    <row r="494">
      <c r="A494" s="20" t="s">
        <v>18</v>
      </c>
      <c r="B494" s="7" t="s">
        <v>40</v>
      </c>
      <c r="C494" s="7">
        <v>31.0</v>
      </c>
      <c r="D494" s="96">
        <v>0.94</v>
      </c>
      <c r="E494" s="74">
        <v>2.32</v>
      </c>
      <c r="F494" s="7">
        <v>0.005</v>
      </c>
      <c r="G494" s="23">
        <v>196.920232516</v>
      </c>
      <c r="H494" s="24">
        <f t="shared" si="65"/>
        <v>0.477</v>
      </c>
      <c r="I494" s="25">
        <f t="shared" si="66"/>
        <v>0.2857142857</v>
      </c>
      <c r="J494" s="24">
        <f t="shared" si="67"/>
        <v>0.2609952231</v>
      </c>
      <c r="K494" s="24">
        <f t="shared" si="68"/>
        <v>0.5797889617</v>
      </c>
      <c r="L494" s="24">
        <f t="shared" si="5"/>
        <v>0.9807740624</v>
      </c>
    </row>
    <row r="495">
      <c r="A495" s="20" t="s">
        <v>18</v>
      </c>
      <c r="B495" s="7" t="s">
        <v>40</v>
      </c>
      <c r="C495" s="7">
        <v>32.0</v>
      </c>
      <c r="D495" s="96">
        <v>0.94</v>
      </c>
      <c r="E495" s="74">
        <v>2.33</v>
      </c>
      <c r="F495" s="7">
        <v>0.005</v>
      </c>
      <c r="G495" s="23">
        <v>198.314632509</v>
      </c>
      <c r="H495" s="24">
        <f t="shared" si="65"/>
        <v>0.477</v>
      </c>
      <c r="I495" s="25">
        <f t="shared" si="66"/>
        <v>0.2857142857</v>
      </c>
      <c r="J495" s="24">
        <f t="shared" si="67"/>
        <v>0.2664079473</v>
      </c>
      <c r="K495" s="24">
        <f t="shared" si="68"/>
        <v>0.5773108994</v>
      </c>
      <c r="L495" s="24">
        <f t="shared" si="5"/>
        <v>0.984983959</v>
      </c>
    </row>
    <row r="496">
      <c r="A496" s="20" t="s">
        <v>18</v>
      </c>
      <c r="B496" s="7" t="s">
        <v>40</v>
      </c>
      <c r="C496" s="7">
        <v>33.0</v>
      </c>
      <c r="D496" s="96">
        <v>0.94</v>
      </c>
      <c r="E496" s="74">
        <v>2.18</v>
      </c>
      <c r="F496" s="7">
        <v>0.005</v>
      </c>
      <c r="G496" s="23">
        <v>185.105750760999</v>
      </c>
      <c r="H496" s="24">
        <f t="shared" si="65"/>
        <v>0.477</v>
      </c>
      <c r="I496" s="25">
        <f t="shared" si="66"/>
        <v>0.2857142857</v>
      </c>
      <c r="J496" s="24">
        <f t="shared" si="67"/>
        <v>0.2151342571</v>
      </c>
      <c r="K496" s="24">
        <f t="shared" si="68"/>
        <v>0.6016710556</v>
      </c>
      <c r="L496" s="24">
        <f t="shared" si="5"/>
        <v>0.9451044222</v>
      </c>
    </row>
    <row r="497">
      <c r="A497" s="57" t="s">
        <v>18</v>
      </c>
      <c r="B497" s="58" t="s">
        <v>54</v>
      </c>
      <c r="C497" s="7">
        <v>1.0</v>
      </c>
      <c r="D497" s="96">
        <v>0.93</v>
      </c>
      <c r="E497" s="7">
        <v>1.28</v>
      </c>
      <c r="F497" s="7">
        <v>0.005</v>
      </c>
      <c r="G497" s="23">
        <v>206.217202345</v>
      </c>
      <c r="H497" s="24">
        <f t="shared" ref="H497:H529" si="69">F497*153/5</f>
        <v>0.153</v>
      </c>
      <c r="I497" s="25">
        <f t="shared" ref="I497:I529" si="70">(H497-MIN($H$497:$H$529))/(MAX($H$497:$H$529)-MIN($H$497:$H$529))</f>
        <v>0.1</v>
      </c>
      <c r="J497" s="24">
        <f t="shared" ref="J497:J529" si="71">(G497-MIN($G$497:$G$529))/(MAX($G$497:$G$529)-MIN($G$497:$G$529))</f>
        <v>0.1037021516</v>
      </c>
      <c r="K497" s="24">
        <f t="shared" ref="K497:K529" si="72">0.93*(1/(1+I497))*(1/(1+J497))*(1-0)</f>
        <v>0.7660169406</v>
      </c>
      <c r="L497" s="24">
        <f t="shared" si="5"/>
        <v>1.003365592</v>
      </c>
    </row>
    <row r="498">
      <c r="A498" s="20" t="s">
        <v>18</v>
      </c>
      <c r="B498" s="7" t="s">
        <v>54</v>
      </c>
      <c r="C498" s="7">
        <v>2.0</v>
      </c>
      <c r="D498" s="96">
        <v>0.93</v>
      </c>
      <c r="E498" s="7">
        <v>1.94</v>
      </c>
      <c r="F498" s="7">
        <v>0.007</v>
      </c>
      <c r="G498" s="23">
        <v>307.371511895999</v>
      </c>
      <c r="H498" s="24">
        <f t="shared" si="69"/>
        <v>0.2142</v>
      </c>
      <c r="I498" s="25">
        <f t="shared" si="70"/>
        <v>0.3</v>
      </c>
      <c r="J498" s="24">
        <f t="shared" si="71"/>
        <v>0.3481075251</v>
      </c>
      <c r="K498" s="24">
        <f t="shared" si="72"/>
        <v>0.5306584245</v>
      </c>
      <c r="L498" s="24">
        <f t="shared" si="5"/>
        <v>1.037005789</v>
      </c>
    </row>
    <row r="499">
      <c r="A499" s="20" t="s">
        <v>18</v>
      </c>
      <c r="B499" s="7" t="s">
        <v>54</v>
      </c>
      <c r="C499" s="7">
        <v>3.0</v>
      </c>
      <c r="D499" s="96">
        <v>0.93</v>
      </c>
      <c r="E499" s="7">
        <v>1.28</v>
      </c>
      <c r="F499" s="7">
        <v>0.005</v>
      </c>
      <c r="G499" s="23">
        <v>199.783366208</v>
      </c>
      <c r="H499" s="24">
        <f t="shared" si="69"/>
        <v>0.153</v>
      </c>
      <c r="I499" s="25">
        <f t="shared" si="70"/>
        <v>0.1</v>
      </c>
      <c r="J499" s="24">
        <f t="shared" si="71"/>
        <v>0.08815695006</v>
      </c>
      <c r="K499" s="24">
        <f t="shared" si="72"/>
        <v>0.7769601117</v>
      </c>
      <c r="L499" s="24">
        <f t="shared" si="5"/>
        <v>0.989233591</v>
      </c>
    </row>
    <row r="500">
      <c r="A500" s="20" t="s">
        <v>18</v>
      </c>
      <c r="B500" s="7" t="s">
        <v>54</v>
      </c>
      <c r="C500" s="7">
        <v>4.0</v>
      </c>
      <c r="D500" s="96">
        <v>0.93</v>
      </c>
      <c r="E500" s="7">
        <v>1.2</v>
      </c>
      <c r="F500" s="7">
        <v>0.004</v>
      </c>
      <c r="G500" s="23">
        <v>186.206970693999</v>
      </c>
      <c r="H500" s="24">
        <f t="shared" si="69"/>
        <v>0.1224</v>
      </c>
      <c r="I500" s="25">
        <f t="shared" si="70"/>
        <v>0</v>
      </c>
      <c r="J500" s="24">
        <f t="shared" si="71"/>
        <v>0.05535415567</v>
      </c>
      <c r="K500" s="24">
        <f t="shared" si="72"/>
        <v>0.8812207684</v>
      </c>
      <c r="L500" s="24">
        <f t="shared" si="5"/>
        <v>1.055354156</v>
      </c>
    </row>
    <row r="501">
      <c r="A501" s="20" t="s">
        <v>18</v>
      </c>
      <c r="B501" s="7" t="s">
        <v>54</v>
      </c>
      <c r="C501" s="7">
        <v>5.0</v>
      </c>
      <c r="D501" s="96">
        <v>0.93</v>
      </c>
      <c r="E501" s="7">
        <v>1.51</v>
      </c>
      <c r="F501" s="7">
        <v>0.006</v>
      </c>
      <c r="G501" s="23">
        <v>233.69783901</v>
      </c>
      <c r="H501" s="24">
        <f t="shared" si="69"/>
        <v>0.1836</v>
      </c>
      <c r="I501" s="25">
        <f t="shared" si="70"/>
        <v>0.2</v>
      </c>
      <c r="J501" s="24">
        <f t="shared" si="71"/>
        <v>0.1700998691</v>
      </c>
      <c r="K501" s="24">
        <f t="shared" si="72"/>
        <v>0.6623366266</v>
      </c>
      <c r="L501" s="24">
        <f t="shared" si="5"/>
        <v>0.9750832242</v>
      </c>
    </row>
    <row r="502">
      <c r="A502" s="20" t="s">
        <v>18</v>
      </c>
      <c r="B502" s="7" t="s">
        <v>54</v>
      </c>
      <c r="C502" s="7">
        <v>6.0</v>
      </c>
      <c r="D502" s="96">
        <v>0.93</v>
      </c>
      <c r="E502" s="7">
        <v>2.21</v>
      </c>
      <c r="F502" s="7">
        <v>0.008</v>
      </c>
      <c r="G502" s="23">
        <v>339.957361398999</v>
      </c>
      <c r="H502" s="24">
        <f t="shared" si="69"/>
        <v>0.2448</v>
      </c>
      <c r="I502" s="25">
        <f t="shared" si="70"/>
        <v>0.4</v>
      </c>
      <c r="J502" s="24">
        <f t="shared" si="71"/>
        <v>0.4268402727</v>
      </c>
      <c r="K502" s="24">
        <f t="shared" si="72"/>
        <v>0.4655641749</v>
      </c>
      <c r="L502" s="24">
        <f t="shared" si="5"/>
        <v>1.019171623</v>
      </c>
    </row>
    <row r="503">
      <c r="A503" s="20" t="s">
        <v>18</v>
      </c>
      <c r="B503" s="7" t="s">
        <v>54</v>
      </c>
      <c r="C503" s="7">
        <v>7.0</v>
      </c>
      <c r="D503" s="96">
        <v>0.93</v>
      </c>
      <c r="E503" s="7">
        <v>1.42</v>
      </c>
      <c r="F503" s="7">
        <v>0.005</v>
      </c>
      <c r="G503" s="23">
        <v>217.901508639</v>
      </c>
      <c r="H503" s="24">
        <f t="shared" si="69"/>
        <v>0.153</v>
      </c>
      <c r="I503" s="25">
        <f t="shared" si="70"/>
        <v>0.1</v>
      </c>
      <c r="J503" s="24">
        <f t="shared" si="71"/>
        <v>0.1319333486</v>
      </c>
      <c r="K503" s="24">
        <f t="shared" si="72"/>
        <v>0.7469119507</v>
      </c>
      <c r="L503" s="24">
        <f t="shared" si="5"/>
        <v>1.029030317</v>
      </c>
    </row>
    <row r="504">
      <c r="A504" s="20" t="s">
        <v>18</v>
      </c>
      <c r="B504" s="7" t="s">
        <v>54</v>
      </c>
      <c r="C504" s="7">
        <v>8.0</v>
      </c>
      <c r="D504" s="96">
        <v>0.93</v>
      </c>
      <c r="E504" s="7">
        <v>1.14</v>
      </c>
      <c r="F504" s="7">
        <v>0.004</v>
      </c>
      <c r="G504" s="23">
        <v>174.675243143999</v>
      </c>
      <c r="H504" s="24">
        <f t="shared" si="69"/>
        <v>0.1224</v>
      </c>
      <c r="I504" s="25">
        <f t="shared" si="70"/>
        <v>0</v>
      </c>
      <c r="J504" s="24">
        <f t="shared" si="71"/>
        <v>0.02749161386</v>
      </c>
      <c r="K504" s="24">
        <f t="shared" si="72"/>
        <v>0.9051168763</v>
      </c>
      <c r="L504" s="24">
        <f t="shared" si="5"/>
        <v>1.027491614</v>
      </c>
    </row>
    <row r="505">
      <c r="A505" s="20" t="s">
        <v>18</v>
      </c>
      <c r="B505" s="7" t="s">
        <v>54</v>
      </c>
      <c r="C505" s="7">
        <v>9.0</v>
      </c>
      <c r="D505" s="96">
        <v>0.93</v>
      </c>
      <c r="E505" s="7">
        <v>1.28</v>
      </c>
      <c r="F505" s="7">
        <v>0.005</v>
      </c>
      <c r="G505" s="23">
        <v>196.159774082</v>
      </c>
      <c r="H505" s="24">
        <f t="shared" si="69"/>
        <v>0.153</v>
      </c>
      <c r="I505" s="25">
        <f t="shared" si="70"/>
        <v>0.1</v>
      </c>
      <c r="J505" s="24">
        <f t="shared" si="71"/>
        <v>0.0794017582</v>
      </c>
      <c r="K505" s="24">
        <f t="shared" si="72"/>
        <v>0.7832621533</v>
      </c>
      <c r="L505" s="24">
        <f t="shared" si="5"/>
        <v>0.9812743256</v>
      </c>
    </row>
    <row r="506">
      <c r="A506" s="20" t="s">
        <v>18</v>
      </c>
      <c r="B506" s="7" t="s">
        <v>54</v>
      </c>
      <c r="C506" s="7">
        <v>10.0</v>
      </c>
      <c r="D506" s="96">
        <v>0.93</v>
      </c>
      <c r="E506" s="7">
        <v>2.46</v>
      </c>
      <c r="F506" s="7">
        <v>0.009</v>
      </c>
      <c r="G506" s="23">
        <v>376.694335555999</v>
      </c>
      <c r="H506" s="24">
        <f t="shared" si="69"/>
        <v>0.2754</v>
      </c>
      <c r="I506" s="25">
        <f t="shared" si="70"/>
        <v>0.5</v>
      </c>
      <c r="J506" s="24">
        <f t="shared" si="71"/>
        <v>0.5156028171</v>
      </c>
      <c r="K506" s="24">
        <f t="shared" si="72"/>
        <v>0.4090781523</v>
      </c>
      <c r="L506" s="24">
        <f t="shared" si="5"/>
        <v>1.010401878</v>
      </c>
    </row>
    <row r="507">
      <c r="A507" s="20" t="s">
        <v>18</v>
      </c>
      <c r="B507" s="7" t="s">
        <v>54</v>
      </c>
      <c r="C507" s="7">
        <v>11.0</v>
      </c>
      <c r="D507" s="96">
        <v>0.93</v>
      </c>
      <c r="E507" s="7">
        <v>1.32</v>
      </c>
      <c r="F507" s="7">
        <v>0.005</v>
      </c>
      <c r="G507" s="23">
        <v>202.024856572999</v>
      </c>
      <c r="H507" s="24">
        <f t="shared" si="69"/>
        <v>0.153</v>
      </c>
      <c r="I507" s="25">
        <f t="shared" si="70"/>
        <v>0.1</v>
      </c>
      <c r="J507" s="24">
        <f t="shared" si="71"/>
        <v>0.09357275777</v>
      </c>
      <c r="K507" s="24">
        <f t="shared" si="72"/>
        <v>0.7731122959</v>
      </c>
      <c r="L507" s="24">
        <f t="shared" si="5"/>
        <v>0.9941570525</v>
      </c>
    </row>
    <row r="508">
      <c r="A508" s="20" t="s">
        <v>18</v>
      </c>
      <c r="B508" s="7" t="s">
        <v>54</v>
      </c>
      <c r="C508" s="7">
        <v>12.0</v>
      </c>
      <c r="D508" s="96">
        <v>0.93</v>
      </c>
      <c r="E508" s="7">
        <v>1.38</v>
      </c>
      <c r="F508" s="7">
        <v>0.005</v>
      </c>
      <c r="G508" s="23">
        <v>212.168807322999</v>
      </c>
      <c r="H508" s="24">
        <f t="shared" si="69"/>
        <v>0.153</v>
      </c>
      <c r="I508" s="25">
        <f t="shared" si="70"/>
        <v>0.1</v>
      </c>
      <c r="J508" s="24">
        <f t="shared" si="71"/>
        <v>0.1180822036</v>
      </c>
      <c r="K508" s="24">
        <f t="shared" si="72"/>
        <v>0.7561649248</v>
      </c>
      <c r="L508" s="24">
        <f t="shared" si="5"/>
        <v>1.016438367</v>
      </c>
    </row>
    <row r="509">
      <c r="A509" s="20" t="s">
        <v>18</v>
      </c>
      <c r="B509" s="7" t="s">
        <v>54</v>
      </c>
      <c r="C509" s="7">
        <v>13.0</v>
      </c>
      <c r="D509" s="96">
        <v>0.93</v>
      </c>
      <c r="E509" s="7">
        <v>2.15</v>
      </c>
      <c r="F509" s="7">
        <v>0.008</v>
      </c>
      <c r="G509" s="23">
        <v>328.631061931</v>
      </c>
      <c r="H509" s="24">
        <f t="shared" si="69"/>
        <v>0.2448</v>
      </c>
      <c r="I509" s="25">
        <f t="shared" si="70"/>
        <v>0.4</v>
      </c>
      <c r="J509" s="24">
        <f t="shared" si="71"/>
        <v>0.3994740788</v>
      </c>
      <c r="K509" s="24">
        <f t="shared" si="72"/>
        <v>0.4746681088</v>
      </c>
      <c r="L509" s="24">
        <f t="shared" si="5"/>
        <v>0.999624342</v>
      </c>
    </row>
    <row r="510">
      <c r="A510" s="20" t="s">
        <v>18</v>
      </c>
      <c r="B510" s="7" t="s">
        <v>54</v>
      </c>
      <c r="C510" s="7">
        <v>14.0</v>
      </c>
      <c r="D510" s="96">
        <v>0.93</v>
      </c>
      <c r="E510" s="7">
        <v>2.41</v>
      </c>
      <c r="F510" s="7">
        <v>0.009</v>
      </c>
      <c r="G510" s="23">
        <v>367.816721471999</v>
      </c>
      <c r="H510" s="24">
        <f t="shared" si="69"/>
        <v>0.2754</v>
      </c>
      <c r="I510" s="25">
        <f t="shared" si="70"/>
        <v>0.5</v>
      </c>
      <c r="J510" s="24">
        <f t="shared" si="71"/>
        <v>0.4941530479</v>
      </c>
      <c r="K510" s="24">
        <f t="shared" si="72"/>
        <v>0.4149507983</v>
      </c>
      <c r="L510" s="24">
        <f t="shared" si="5"/>
        <v>0.996102032</v>
      </c>
    </row>
    <row r="511">
      <c r="A511" s="20" t="s">
        <v>18</v>
      </c>
      <c r="B511" s="7" t="s">
        <v>54</v>
      </c>
      <c r="C511" s="7">
        <v>15.0</v>
      </c>
      <c r="D511" s="96">
        <v>0.93</v>
      </c>
      <c r="E511" s="7">
        <v>2.78</v>
      </c>
      <c r="F511" s="7">
        <v>0.01</v>
      </c>
      <c r="G511" s="23">
        <v>424.331607156999</v>
      </c>
      <c r="H511" s="24">
        <f t="shared" si="69"/>
        <v>0.306</v>
      </c>
      <c r="I511" s="25">
        <f t="shared" si="70"/>
        <v>0.6</v>
      </c>
      <c r="J511" s="24">
        <f t="shared" si="71"/>
        <v>0.6307022648</v>
      </c>
      <c r="K511" s="24">
        <f t="shared" si="72"/>
        <v>0.3564415237</v>
      </c>
      <c r="L511" s="24">
        <f t="shared" si="5"/>
        <v>1.019188915</v>
      </c>
    </row>
    <row r="512">
      <c r="A512" s="20" t="s">
        <v>18</v>
      </c>
      <c r="B512" s="7" t="s">
        <v>54</v>
      </c>
      <c r="C512" s="7">
        <v>16.0</v>
      </c>
      <c r="D512" s="96">
        <v>0.93</v>
      </c>
      <c r="E512" s="7">
        <v>1.43</v>
      </c>
      <c r="F512" s="7">
        <v>0.005</v>
      </c>
      <c r="G512" s="23">
        <v>218.599752924</v>
      </c>
      <c r="H512" s="24">
        <f t="shared" si="69"/>
        <v>0.153</v>
      </c>
      <c r="I512" s="25">
        <f t="shared" si="70"/>
        <v>0.1</v>
      </c>
      <c r="J512" s="24">
        <f t="shared" si="71"/>
        <v>0.1336204211</v>
      </c>
      <c r="K512" s="24">
        <f t="shared" si="72"/>
        <v>0.7458003841</v>
      </c>
      <c r="L512" s="24">
        <f t="shared" si="5"/>
        <v>1.030564019</v>
      </c>
    </row>
    <row r="513">
      <c r="A513" s="20" t="s">
        <v>18</v>
      </c>
      <c r="B513" s="7" t="s">
        <v>54</v>
      </c>
      <c r="C513" s="7">
        <v>17.0</v>
      </c>
      <c r="D513" s="96">
        <v>0.93</v>
      </c>
      <c r="E513" s="7">
        <v>1.07</v>
      </c>
      <c r="F513" s="7">
        <v>0.004</v>
      </c>
      <c r="G513" s="23">
        <v>163.297034972999</v>
      </c>
      <c r="H513" s="24">
        <f t="shared" si="69"/>
        <v>0.1224</v>
      </c>
      <c r="I513" s="25">
        <f t="shared" si="70"/>
        <v>0</v>
      </c>
      <c r="J513" s="24">
        <f t="shared" si="71"/>
        <v>0</v>
      </c>
      <c r="K513" s="24">
        <f t="shared" si="72"/>
        <v>0.93</v>
      </c>
      <c r="L513" s="24">
        <f t="shared" si="5"/>
        <v>1</v>
      </c>
    </row>
    <row r="514">
      <c r="A514" s="20" t="s">
        <v>18</v>
      </c>
      <c r="B514" s="7" t="s">
        <v>54</v>
      </c>
      <c r="C514" s="7">
        <v>18.0</v>
      </c>
      <c r="D514" s="96">
        <v>0.93</v>
      </c>
      <c r="E514" s="7">
        <v>3.25</v>
      </c>
      <c r="F514" s="7">
        <v>0.012</v>
      </c>
      <c r="G514" s="23">
        <v>496.537442330999</v>
      </c>
      <c r="H514" s="24">
        <f t="shared" si="69"/>
        <v>0.3672</v>
      </c>
      <c r="I514" s="25">
        <f t="shared" si="70"/>
        <v>0.8</v>
      </c>
      <c r="J514" s="24">
        <f t="shared" si="71"/>
        <v>0.8051633846</v>
      </c>
      <c r="K514" s="24">
        <f t="shared" si="72"/>
        <v>0.286216013</v>
      </c>
      <c r="L514" s="24">
        <f t="shared" si="5"/>
        <v>1.002868547</v>
      </c>
    </row>
    <row r="515">
      <c r="A515" s="20" t="s">
        <v>18</v>
      </c>
      <c r="B515" s="7" t="s">
        <v>54</v>
      </c>
      <c r="C515" s="7">
        <v>19.0</v>
      </c>
      <c r="D515" s="96">
        <v>0.93</v>
      </c>
      <c r="E515" s="7">
        <v>2.64</v>
      </c>
      <c r="F515" s="7">
        <v>0.01</v>
      </c>
      <c r="G515" s="23">
        <v>403.286972164999</v>
      </c>
      <c r="H515" s="24">
        <f t="shared" si="69"/>
        <v>0.306</v>
      </c>
      <c r="I515" s="25">
        <f t="shared" si="70"/>
        <v>0.6</v>
      </c>
      <c r="J515" s="24">
        <f t="shared" si="71"/>
        <v>0.5798549811</v>
      </c>
      <c r="K515" s="24">
        <f t="shared" si="72"/>
        <v>0.3679135155</v>
      </c>
      <c r="L515" s="24">
        <f t="shared" si="5"/>
        <v>0.9874093632</v>
      </c>
    </row>
    <row r="516">
      <c r="A516" s="20" t="s">
        <v>18</v>
      </c>
      <c r="B516" s="7" t="s">
        <v>54</v>
      </c>
      <c r="C516" s="7">
        <v>20.0</v>
      </c>
      <c r="D516" s="96">
        <v>0.93</v>
      </c>
      <c r="E516" s="7">
        <v>2.35</v>
      </c>
      <c r="F516" s="7">
        <v>0.009</v>
      </c>
      <c r="G516" s="23">
        <v>359.859823260999</v>
      </c>
      <c r="H516" s="24">
        <f t="shared" si="69"/>
        <v>0.2754</v>
      </c>
      <c r="I516" s="25">
        <f t="shared" si="70"/>
        <v>0.5</v>
      </c>
      <c r="J516" s="24">
        <f t="shared" si="71"/>
        <v>0.4749278791</v>
      </c>
      <c r="K516" s="24">
        <f t="shared" si="72"/>
        <v>0.4203595367</v>
      </c>
      <c r="L516" s="24">
        <f t="shared" si="5"/>
        <v>0.9832852527</v>
      </c>
    </row>
    <row r="517">
      <c r="A517" s="20" t="s">
        <v>18</v>
      </c>
      <c r="B517" s="7" t="s">
        <v>54</v>
      </c>
      <c r="C517" s="7">
        <v>21.0</v>
      </c>
      <c r="D517" s="96">
        <v>0.93</v>
      </c>
      <c r="E517" s="7">
        <v>2.51</v>
      </c>
      <c r="F517" s="7">
        <v>0.009</v>
      </c>
      <c r="G517" s="23">
        <v>384.145723200999</v>
      </c>
      <c r="H517" s="24">
        <f t="shared" si="69"/>
        <v>0.2754</v>
      </c>
      <c r="I517" s="25">
        <f t="shared" si="70"/>
        <v>0.5</v>
      </c>
      <c r="J517" s="24">
        <f t="shared" si="71"/>
        <v>0.5336065896</v>
      </c>
      <c r="K517" s="24">
        <f t="shared" si="72"/>
        <v>0.4042757798</v>
      </c>
      <c r="L517" s="24">
        <f t="shared" si="5"/>
        <v>1.022404393</v>
      </c>
    </row>
    <row r="518">
      <c r="A518" s="20" t="s">
        <v>18</v>
      </c>
      <c r="B518" s="7" t="s">
        <v>54</v>
      </c>
      <c r="C518" s="7">
        <v>22.0</v>
      </c>
      <c r="D518" s="96">
        <v>0.93</v>
      </c>
      <c r="E518" s="7">
        <v>3.27</v>
      </c>
      <c r="F518" s="7">
        <v>0.012</v>
      </c>
      <c r="G518" s="23">
        <v>498.999121545</v>
      </c>
      <c r="H518" s="24">
        <f t="shared" si="69"/>
        <v>0.3672</v>
      </c>
      <c r="I518" s="25">
        <f t="shared" si="70"/>
        <v>0.8</v>
      </c>
      <c r="J518" s="24">
        <f t="shared" si="71"/>
        <v>0.8111112046</v>
      </c>
      <c r="K518" s="24">
        <f t="shared" si="72"/>
        <v>0.2852760589</v>
      </c>
      <c r="L518" s="24">
        <f t="shared" si="5"/>
        <v>1.006172891</v>
      </c>
    </row>
    <row r="519">
      <c r="A519" s="20" t="s">
        <v>18</v>
      </c>
      <c r="B519" s="7" t="s">
        <v>54</v>
      </c>
      <c r="C519" s="7">
        <v>23.0</v>
      </c>
      <c r="D519" s="96">
        <v>0.93</v>
      </c>
      <c r="E519" s="7">
        <v>2.86</v>
      </c>
      <c r="F519" s="7">
        <v>0.011</v>
      </c>
      <c r="G519" s="23">
        <v>437.004831938999</v>
      </c>
      <c r="H519" s="24">
        <f t="shared" si="69"/>
        <v>0.3366</v>
      </c>
      <c r="I519" s="25">
        <f t="shared" si="70"/>
        <v>0.7</v>
      </c>
      <c r="J519" s="24">
        <f t="shared" si="71"/>
        <v>0.6613228508</v>
      </c>
      <c r="K519" s="24">
        <f t="shared" si="72"/>
        <v>0.3292910967</v>
      </c>
      <c r="L519" s="24">
        <f t="shared" si="5"/>
        <v>0.9772487358</v>
      </c>
    </row>
    <row r="520">
      <c r="A520" s="20" t="s">
        <v>18</v>
      </c>
      <c r="B520" s="7" t="s">
        <v>54</v>
      </c>
      <c r="C520" s="7">
        <v>24.0</v>
      </c>
      <c r="D520" s="96">
        <v>0.93</v>
      </c>
      <c r="E520" s="7">
        <v>1.44</v>
      </c>
      <c r="F520" s="7">
        <v>0.005</v>
      </c>
      <c r="G520" s="23">
        <v>220.795206089999</v>
      </c>
      <c r="H520" s="24">
        <f t="shared" si="69"/>
        <v>0.153</v>
      </c>
      <c r="I520" s="25">
        <f t="shared" si="70"/>
        <v>0.1</v>
      </c>
      <c r="J520" s="24">
        <f t="shared" si="71"/>
        <v>0.1389249954</v>
      </c>
      <c r="K520" s="24">
        <f t="shared" si="72"/>
        <v>0.7423267984</v>
      </c>
      <c r="L520" s="24">
        <f t="shared" si="5"/>
        <v>1.035386359</v>
      </c>
    </row>
    <row r="521">
      <c r="A521" s="20" t="s">
        <v>18</v>
      </c>
      <c r="B521" s="7" t="s">
        <v>54</v>
      </c>
      <c r="C521" s="7">
        <v>25.0</v>
      </c>
      <c r="D521" s="96">
        <v>0.93</v>
      </c>
      <c r="E521" s="7">
        <v>2.54</v>
      </c>
      <c r="F521" s="7">
        <v>0.009</v>
      </c>
      <c r="G521" s="23">
        <v>387.833151932999</v>
      </c>
      <c r="H521" s="24">
        <f t="shared" si="69"/>
        <v>0.2754</v>
      </c>
      <c r="I521" s="25">
        <f t="shared" si="70"/>
        <v>0.5</v>
      </c>
      <c r="J521" s="24">
        <f t="shared" si="71"/>
        <v>0.5425160212</v>
      </c>
      <c r="K521" s="24">
        <f t="shared" si="72"/>
        <v>0.4019407199</v>
      </c>
      <c r="L521" s="24">
        <f t="shared" si="5"/>
        <v>1.028344014</v>
      </c>
    </row>
    <row r="522">
      <c r="A522" s="20" t="s">
        <v>18</v>
      </c>
      <c r="B522" s="7" t="s">
        <v>54</v>
      </c>
      <c r="C522" s="7">
        <v>26.0</v>
      </c>
      <c r="D522" s="96">
        <v>0.93</v>
      </c>
      <c r="E522" s="7">
        <v>1.69</v>
      </c>
      <c r="F522" s="7">
        <v>0.006</v>
      </c>
      <c r="G522" s="23">
        <v>257.099455423</v>
      </c>
      <c r="H522" s="24">
        <f t="shared" si="69"/>
        <v>0.1836</v>
      </c>
      <c r="I522" s="25">
        <f t="shared" si="70"/>
        <v>0.2</v>
      </c>
      <c r="J522" s="24">
        <f t="shared" si="71"/>
        <v>0.2266420058</v>
      </c>
      <c r="K522" s="24">
        <f t="shared" si="72"/>
        <v>0.6318061801</v>
      </c>
      <c r="L522" s="24">
        <f t="shared" si="5"/>
        <v>1.022201671</v>
      </c>
    </row>
    <row r="523">
      <c r="A523" s="20" t="s">
        <v>18</v>
      </c>
      <c r="B523" s="7" t="s">
        <v>54</v>
      </c>
      <c r="C523" s="7">
        <v>27.0</v>
      </c>
      <c r="D523" s="96">
        <v>0.93</v>
      </c>
      <c r="E523" s="7">
        <v>1.38</v>
      </c>
      <c r="F523" s="7">
        <v>0.005</v>
      </c>
      <c r="G523" s="23">
        <v>210.163934065001</v>
      </c>
      <c r="H523" s="24">
        <f t="shared" si="69"/>
        <v>0.153</v>
      </c>
      <c r="I523" s="25">
        <f t="shared" si="70"/>
        <v>0.1</v>
      </c>
      <c r="J523" s="24">
        <f t="shared" si="71"/>
        <v>0.1132381016</v>
      </c>
      <c r="K523" s="24">
        <f t="shared" si="72"/>
        <v>0.7594552722</v>
      </c>
      <c r="L523" s="24">
        <f t="shared" si="5"/>
        <v>1.012034638</v>
      </c>
    </row>
    <row r="524">
      <c r="A524" s="20" t="s">
        <v>18</v>
      </c>
      <c r="B524" s="7" t="s">
        <v>54</v>
      </c>
      <c r="C524" s="7">
        <v>28.0</v>
      </c>
      <c r="D524" s="96">
        <v>0.93</v>
      </c>
      <c r="E524" s="7">
        <v>2.34</v>
      </c>
      <c r="F524" s="7">
        <v>0.009</v>
      </c>
      <c r="G524" s="23">
        <v>357.974072950999</v>
      </c>
      <c r="H524" s="24">
        <f t="shared" si="69"/>
        <v>0.2754</v>
      </c>
      <c r="I524" s="25">
        <f t="shared" si="70"/>
        <v>0.5</v>
      </c>
      <c r="J524" s="24">
        <f t="shared" si="71"/>
        <v>0.4703715976</v>
      </c>
      <c r="K524" s="24">
        <f t="shared" si="72"/>
        <v>0.4216621166</v>
      </c>
      <c r="L524" s="24">
        <f t="shared" si="5"/>
        <v>0.9802477317</v>
      </c>
    </row>
    <row r="525">
      <c r="A525" s="20" t="s">
        <v>18</v>
      </c>
      <c r="B525" s="7" t="s">
        <v>54</v>
      </c>
      <c r="C525" s="7">
        <v>29.0</v>
      </c>
      <c r="D525" s="96">
        <v>0.93</v>
      </c>
      <c r="E525" s="7">
        <v>3.33</v>
      </c>
      <c r="F525" s="7">
        <v>0.012</v>
      </c>
      <c r="G525" s="23">
        <v>507.055000274</v>
      </c>
      <c r="H525" s="24">
        <f t="shared" si="69"/>
        <v>0.3672</v>
      </c>
      <c r="I525" s="25">
        <f t="shared" si="70"/>
        <v>0.8</v>
      </c>
      <c r="J525" s="24">
        <f t="shared" si="71"/>
        <v>0.8305755266</v>
      </c>
      <c r="K525" s="24">
        <f t="shared" si="72"/>
        <v>0.2822427478</v>
      </c>
      <c r="L525" s="24">
        <f t="shared" si="5"/>
        <v>1.016986404</v>
      </c>
    </row>
    <row r="526">
      <c r="A526" s="20" t="s">
        <v>18</v>
      </c>
      <c r="B526" s="7" t="s">
        <v>54</v>
      </c>
      <c r="C526" s="7">
        <v>30.0</v>
      </c>
      <c r="D526" s="96">
        <v>0.93</v>
      </c>
      <c r="E526" s="7">
        <v>2.62</v>
      </c>
      <c r="F526" s="7">
        <v>0.01</v>
      </c>
      <c r="G526" s="23">
        <v>399.780210908998</v>
      </c>
      <c r="H526" s="24">
        <f t="shared" si="69"/>
        <v>0.306</v>
      </c>
      <c r="I526" s="25">
        <f t="shared" si="70"/>
        <v>0.6</v>
      </c>
      <c r="J526" s="24">
        <f t="shared" si="71"/>
        <v>0.5713820717</v>
      </c>
      <c r="K526" s="24">
        <f t="shared" si="72"/>
        <v>0.3698973092</v>
      </c>
      <c r="L526" s="24">
        <f t="shared" si="5"/>
        <v>0.9821137948</v>
      </c>
    </row>
    <row r="527">
      <c r="A527" s="20" t="s">
        <v>18</v>
      </c>
      <c r="B527" s="7" t="s">
        <v>54</v>
      </c>
      <c r="C527" s="7">
        <v>31.0</v>
      </c>
      <c r="D527" s="96">
        <v>0.93</v>
      </c>
      <c r="E527" s="7">
        <v>3.78</v>
      </c>
      <c r="F527" s="7">
        <v>0.014</v>
      </c>
      <c r="G527" s="23">
        <v>577.176272078999</v>
      </c>
      <c r="H527" s="24">
        <f t="shared" si="69"/>
        <v>0.4284</v>
      </c>
      <c r="I527" s="25">
        <f t="shared" si="70"/>
        <v>1</v>
      </c>
      <c r="J527" s="24">
        <f t="shared" si="71"/>
        <v>1</v>
      </c>
      <c r="K527" s="24">
        <f t="shared" si="72"/>
        <v>0.2325</v>
      </c>
      <c r="L527" s="24">
        <f t="shared" si="5"/>
        <v>1</v>
      </c>
    </row>
    <row r="528">
      <c r="A528" s="20" t="s">
        <v>18</v>
      </c>
      <c r="B528" s="7" t="s">
        <v>54</v>
      </c>
      <c r="C528" s="7">
        <v>32.0</v>
      </c>
      <c r="D528" s="96">
        <v>0.93</v>
      </c>
      <c r="E528" s="7">
        <v>1.6</v>
      </c>
      <c r="F528" s="7">
        <v>0.006</v>
      </c>
      <c r="G528" s="23">
        <v>244.780862281999</v>
      </c>
      <c r="H528" s="24">
        <f t="shared" si="69"/>
        <v>0.1836</v>
      </c>
      <c r="I528" s="25">
        <f t="shared" si="70"/>
        <v>0.2</v>
      </c>
      <c r="J528" s="24">
        <f t="shared" si="71"/>
        <v>0.1968782679</v>
      </c>
      <c r="K528" s="24">
        <f t="shared" si="72"/>
        <v>0.6475178143</v>
      </c>
      <c r="L528" s="24">
        <f t="shared" si="5"/>
        <v>0.9973985566</v>
      </c>
    </row>
    <row r="529">
      <c r="A529" s="20" t="s">
        <v>18</v>
      </c>
      <c r="B529" s="7" t="s">
        <v>54</v>
      </c>
      <c r="C529" s="7">
        <v>33.0</v>
      </c>
      <c r="D529" s="96">
        <v>0.93</v>
      </c>
      <c r="E529" s="7">
        <v>1.38</v>
      </c>
      <c r="F529" s="7">
        <v>0.005</v>
      </c>
      <c r="G529" s="23">
        <v>211.249135755</v>
      </c>
      <c r="H529" s="24">
        <f t="shared" si="69"/>
        <v>0.153</v>
      </c>
      <c r="I529" s="25">
        <f t="shared" si="70"/>
        <v>0.1</v>
      </c>
      <c r="J529" s="24">
        <f t="shared" si="71"/>
        <v>0.1158601265</v>
      </c>
      <c r="K529" s="24">
        <f t="shared" si="72"/>
        <v>0.75767072</v>
      </c>
      <c r="L529" s="24">
        <f t="shared" si="5"/>
        <v>1.014418297</v>
      </c>
    </row>
    <row r="530">
      <c r="A530" s="57" t="s">
        <v>19</v>
      </c>
      <c r="B530" s="58" t="s">
        <v>20</v>
      </c>
      <c r="C530" s="7">
        <v>1.0</v>
      </c>
      <c r="D530" s="21">
        <v>0.96</v>
      </c>
      <c r="E530" s="7">
        <v>3.03</v>
      </c>
      <c r="F530" s="7">
        <v>0.006</v>
      </c>
      <c r="G530" s="23">
        <v>231.267291691</v>
      </c>
      <c r="H530" s="24">
        <f t="shared" ref="H530:H562" si="73">F530*477/5</f>
        <v>0.5724</v>
      </c>
      <c r="I530" s="25">
        <f t="shared" ref="I530:I562" si="74">(H530-MIN($H$530:$H$562))/(MAX($H$530:$H$562)-MIN($H$530:$H$562))</f>
        <v>0.4</v>
      </c>
      <c r="J530" s="24">
        <f t="shared" ref="J530:J562" si="75">(G530-MIN($G$530:$G$562))/(MAX($G$530:$G$562)-MIN($G$530:$G$562))</f>
        <v>0.5604672723</v>
      </c>
      <c r="K530" s="24">
        <f t="shared" ref="K530:K562" si="76">0.96*(1/(1+I530))*(1/(1+J530))*(1-0)</f>
        <v>0.4394288159</v>
      </c>
      <c r="L530" s="24">
        <f t="shared" si="5"/>
        <v>1.11461948</v>
      </c>
    </row>
    <row r="531">
      <c r="A531" s="20" t="s">
        <v>19</v>
      </c>
      <c r="B531" s="7" t="s">
        <v>20</v>
      </c>
      <c r="C531" s="7">
        <v>2.0</v>
      </c>
      <c r="D531" s="21">
        <v>0.96</v>
      </c>
      <c r="E531" s="7">
        <v>3.11</v>
      </c>
      <c r="F531" s="7">
        <v>0.007</v>
      </c>
      <c r="G531" s="23">
        <v>234.981772228</v>
      </c>
      <c r="H531" s="24">
        <f t="shared" si="73"/>
        <v>0.6678</v>
      </c>
      <c r="I531" s="25">
        <f t="shared" si="74"/>
        <v>0.6</v>
      </c>
      <c r="J531" s="24">
        <f t="shared" si="75"/>
        <v>0.5874173883</v>
      </c>
      <c r="K531" s="24">
        <f t="shared" si="76"/>
        <v>0.3779724252</v>
      </c>
      <c r="L531" s="24">
        <f t="shared" si="5"/>
        <v>0.9921358677</v>
      </c>
    </row>
    <row r="532">
      <c r="A532" s="20" t="s">
        <v>19</v>
      </c>
      <c r="B532" s="7" t="s">
        <v>20</v>
      </c>
      <c r="C532" s="7">
        <v>3.0</v>
      </c>
      <c r="D532" s="21">
        <v>0.96</v>
      </c>
      <c r="E532" s="7">
        <v>2.99</v>
      </c>
      <c r="F532" s="7">
        <v>0.006</v>
      </c>
      <c r="G532" s="23">
        <v>225.15098235</v>
      </c>
      <c r="H532" s="24">
        <f t="shared" si="73"/>
        <v>0.5724</v>
      </c>
      <c r="I532" s="25">
        <f t="shared" si="74"/>
        <v>0.4</v>
      </c>
      <c r="J532" s="24">
        <f t="shared" si="75"/>
        <v>0.5160908799</v>
      </c>
      <c r="K532" s="24">
        <f t="shared" si="76"/>
        <v>0.4522910169</v>
      </c>
      <c r="L532" s="24">
        <f t="shared" si="5"/>
        <v>1.082922057</v>
      </c>
    </row>
    <row r="533">
      <c r="A533" s="20" t="s">
        <v>19</v>
      </c>
      <c r="B533" s="7" t="s">
        <v>20</v>
      </c>
      <c r="C533" s="7">
        <v>4.0</v>
      </c>
      <c r="D533" s="21">
        <v>0.96</v>
      </c>
      <c r="E533" s="7">
        <v>2.88</v>
      </c>
      <c r="F533" s="7">
        <v>0.006</v>
      </c>
      <c r="G533" s="23">
        <v>214.975390923</v>
      </c>
      <c r="H533" s="24">
        <f t="shared" si="73"/>
        <v>0.5724</v>
      </c>
      <c r="I533" s="25">
        <f t="shared" si="74"/>
        <v>0.4</v>
      </c>
      <c r="J533" s="24">
        <f t="shared" si="75"/>
        <v>0.4422626914</v>
      </c>
      <c r="K533" s="24">
        <f t="shared" si="76"/>
        <v>0.4754434056</v>
      </c>
      <c r="L533" s="24">
        <f t="shared" si="5"/>
        <v>1.030187637</v>
      </c>
    </row>
    <row r="534">
      <c r="A534" s="20" t="s">
        <v>19</v>
      </c>
      <c r="B534" s="7" t="s">
        <v>20</v>
      </c>
      <c r="C534" s="7">
        <v>5.0</v>
      </c>
      <c r="D534" s="21">
        <v>0.96</v>
      </c>
      <c r="E534" s="7">
        <v>2.79</v>
      </c>
      <c r="F534" s="7">
        <v>0.006</v>
      </c>
      <c r="G534" s="23">
        <v>208.132432059</v>
      </c>
      <c r="H534" s="24">
        <f t="shared" si="73"/>
        <v>0.5724</v>
      </c>
      <c r="I534" s="25">
        <f t="shared" si="74"/>
        <v>0.4</v>
      </c>
      <c r="J534" s="24">
        <f t="shared" si="75"/>
        <v>0.3926141515</v>
      </c>
      <c r="K534" s="24">
        <f t="shared" si="76"/>
        <v>0.492393593</v>
      </c>
      <c r="L534" s="24">
        <f t="shared" si="5"/>
        <v>0.9947243939</v>
      </c>
    </row>
    <row r="535">
      <c r="A535" s="20" t="s">
        <v>19</v>
      </c>
      <c r="B535" s="7" t="s">
        <v>20</v>
      </c>
      <c r="C535" s="7">
        <v>6.0</v>
      </c>
      <c r="D535" s="21">
        <v>0.96</v>
      </c>
      <c r="E535" s="7">
        <v>3.58</v>
      </c>
      <c r="F535" s="7">
        <v>0.008</v>
      </c>
      <c r="G535" s="23">
        <v>261.675678854999</v>
      </c>
      <c r="H535" s="24">
        <f t="shared" si="73"/>
        <v>0.7632</v>
      </c>
      <c r="I535" s="25">
        <f t="shared" si="74"/>
        <v>0.8</v>
      </c>
      <c r="J535" s="24">
        <f t="shared" si="75"/>
        <v>0.7810928895</v>
      </c>
      <c r="K535" s="24">
        <f t="shared" si="76"/>
        <v>0.2994416161</v>
      </c>
      <c r="L535" s="24">
        <f t="shared" si="5"/>
        <v>0.9894960497</v>
      </c>
    </row>
    <row r="536">
      <c r="A536" s="20" t="s">
        <v>19</v>
      </c>
      <c r="B536" s="7" t="s">
        <v>20</v>
      </c>
      <c r="C536" s="7">
        <v>7.0</v>
      </c>
      <c r="D536" s="21">
        <v>0.96</v>
      </c>
      <c r="E536" s="7">
        <v>2.7</v>
      </c>
      <c r="F536" s="7">
        <v>0.006</v>
      </c>
      <c r="G536" s="23">
        <v>200.92710889</v>
      </c>
      <c r="H536" s="24">
        <f t="shared" si="73"/>
        <v>0.5724</v>
      </c>
      <c r="I536" s="25">
        <f t="shared" si="74"/>
        <v>0.4</v>
      </c>
      <c r="J536" s="24">
        <f t="shared" si="75"/>
        <v>0.3403365065</v>
      </c>
      <c r="K536" s="24">
        <f t="shared" si="76"/>
        <v>0.5115986041</v>
      </c>
      <c r="L536" s="24">
        <f t="shared" si="5"/>
        <v>0.9573832189</v>
      </c>
    </row>
    <row r="537">
      <c r="A537" s="20" t="s">
        <v>19</v>
      </c>
      <c r="B537" s="7" t="s">
        <v>20</v>
      </c>
      <c r="C537" s="7">
        <v>8.0</v>
      </c>
      <c r="D537" s="21">
        <v>0.96</v>
      </c>
      <c r="E537" s="7">
        <v>3.89</v>
      </c>
      <c r="F537" s="7">
        <v>0.008</v>
      </c>
      <c r="G537" s="23">
        <v>281.63789167</v>
      </c>
      <c r="H537" s="24">
        <f t="shared" si="73"/>
        <v>0.7632</v>
      </c>
      <c r="I537" s="25">
        <f t="shared" si="74"/>
        <v>0.8</v>
      </c>
      <c r="J537" s="24">
        <f t="shared" si="75"/>
        <v>0.9259271255</v>
      </c>
      <c r="K537" s="24">
        <f t="shared" si="76"/>
        <v>0.2769229044</v>
      </c>
      <c r="L537" s="24">
        <f t="shared" si="5"/>
        <v>1.069959514</v>
      </c>
    </row>
    <row r="538">
      <c r="A538" s="20" t="s">
        <v>19</v>
      </c>
      <c r="B538" s="7" t="s">
        <v>20</v>
      </c>
      <c r="C538" s="7">
        <v>9.0</v>
      </c>
      <c r="D538" s="21">
        <v>0.96</v>
      </c>
      <c r="E538" s="7">
        <v>2.74</v>
      </c>
      <c r="F538" s="7">
        <v>0.006</v>
      </c>
      <c r="G538" s="23">
        <v>203.060932010999</v>
      </c>
      <c r="H538" s="24">
        <f t="shared" si="73"/>
        <v>0.5724</v>
      </c>
      <c r="I538" s="25">
        <f t="shared" si="74"/>
        <v>0.4</v>
      </c>
      <c r="J538" s="24">
        <f t="shared" si="75"/>
        <v>0.3558182892</v>
      </c>
      <c r="K538" s="24">
        <f t="shared" si="76"/>
        <v>0.5057567752</v>
      </c>
      <c r="L538" s="24">
        <f t="shared" si="5"/>
        <v>0.9684416351</v>
      </c>
    </row>
    <row r="539">
      <c r="A539" s="20" t="s">
        <v>19</v>
      </c>
      <c r="B539" s="7" t="s">
        <v>20</v>
      </c>
      <c r="C539" s="7">
        <v>10.0</v>
      </c>
      <c r="D539" s="21">
        <v>0.96</v>
      </c>
      <c r="E539" s="7">
        <v>2.8</v>
      </c>
      <c r="F539" s="7">
        <v>0.006</v>
      </c>
      <c r="G539" s="23">
        <v>209.080801261</v>
      </c>
      <c r="H539" s="24">
        <f t="shared" si="73"/>
        <v>0.5724</v>
      </c>
      <c r="I539" s="25">
        <f t="shared" si="74"/>
        <v>0.4</v>
      </c>
      <c r="J539" s="24">
        <f t="shared" si="75"/>
        <v>0.3994949683</v>
      </c>
      <c r="K539" s="24">
        <f t="shared" si="76"/>
        <v>0.4899726696</v>
      </c>
      <c r="L539" s="24">
        <f t="shared" si="5"/>
        <v>0.9996392631</v>
      </c>
    </row>
    <row r="540">
      <c r="A540" s="20" t="s">
        <v>19</v>
      </c>
      <c r="B540" s="7" t="s">
        <v>20</v>
      </c>
      <c r="C540" s="7">
        <v>11.0</v>
      </c>
      <c r="D540" s="21">
        <v>0.96</v>
      </c>
      <c r="E540" s="7">
        <v>2.12</v>
      </c>
      <c r="F540" s="7">
        <v>0.005</v>
      </c>
      <c r="G540" s="23">
        <v>161.398532668999</v>
      </c>
      <c r="H540" s="24">
        <f t="shared" si="73"/>
        <v>0.477</v>
      </c>
      <c r="I540" s="25">
        <f t="shared" si="74"/>
        <v>0.2</v>
      </c>
      <c r="J540" s="24">
        <f t="shared" si="75"/>
        <v>0.05354008818</v>
      </c>
      <c r="K540" s="24">
        <f t="shared" si="76"/>
        <v>0.759344622</v>
      </c>
      <c r="L540" s="24">
        <f t="shared" si="5"/>
        <v>0.8779500735</v>
      </c>
    </row>
    <row r="541">
      <c r="A541" s="20" t="s">
        <v>19</v>
      </c>
      <c r="B541" s="7" t="s">
        <v>20</v>
      </c>
      <c r="C541" s="7">
        <v>12.0</v>
      </c>
      <c r="D541" s="21">
        <v>0.96</v>
      </c>
      <c r="E541" s="7">
        <v>2.03</v>
      </c>
      <c r="F541" s="7">
        <v>0.004</v>
      </c>
      <c r="G541" s="23">
        <v>154.019209491999</v>
      </c>
      <c r="H541" s="24">
        <f t="shared" si="73"/>
        <v>0.3816</v>
      </c>
      <c r="I541" s="25">
        <f t="shared" si="74"/>
        <v>0</v>
      </c>
      <c r="J541" s="24">
        <f t="shared" si="75"/>
        <v>0</v>
      </c>
      <c r="K541" s="24">
        <f t="shared" si="76"/>
        <v>0.96</v>
      </c>
      <c r="L541" s="24">
        <f t="shared" si="5"/>
        <v>1</v>
      </c>
    </row>
    <row r="542">
      <c r="A542" s="20" t="s">
        <v>19</v>
      </c>
      <c r="B542" s="7" t="s">
        <v>20</v>
      </c>
      <c r="C542" s="7">
        <v>13.0</v>
      </c>
      <c r="D542" s="21">
        <v>0.96</v>
      </c>
      <c r="E542" s="7">
        <v>3.05</v>
      </c>
      <c r="F542" s="7">
        <v>0.006</v>
      </c>
      <c r="G542" s="23">
        <v>223.208897806999</v>
      </c>
      <c r="H542" s="24">
        <f t="shared" si="73"/>
        <v>0.5724</v>
      </c>
      <c r="I542" s="25">
        <f t="shared" si="74"/>
        <v>0.4</v>
      </c>
      <c r="J542" s="24">
        <f t="shared" si="75"/>
        <v>0.502000241</v>
      </c>
      <c r="K542" s="24">
        <f t="shared" si="76"/>
        <v>0.4565340717</v>
      </c>
      <c r="L542" s="24">
        <f t="shared" si="5"/>
        <v>1.072857315</v>
      </c>
    </row>
    <row r="543">
      <c r="A543" s="20" t="s">
        <v>19</v>
      </c>
      <c r="B543" s="7" t="s">
        <v>20</v>
      </c>
      <c r="C543" s="7">
        <v>14.0</v>
      </c>
      <c r="D543" s="21">
        <v>0.96</v>
      </c>
      <c r="E543" s="7">
        <v>3.19</v>
      </c>
      <c r="F543" s="7">
        <v>0.007</v>
      </c>
      <c r="G543" s="23">
        <v>233.228249834</v>
      </c>
      <c r="H543" s="24">
        <f t="shared" si="73"/>
        <v>0.6678</v>
      </c>
      <c r="I543" s="25">
        <f t="shared" si="74"/>
        <v>0.6</v>
      </c>
      <c r="J543" s="24">
        <f t="shared" si="75"/>
        <v>0.5746948471</v>
      </c>
      <c r="K543" s="24">
        <f t="shared" si="76"/>
        <v>0.381026204</v>
      </c>
      <c r="L543" s="24">
        <f t="shared" si="5"/>
        <v>0.9841842794</v>
      </c>
    </row>
    <row r="544">
      <c r="A544" s="20" t="s">
        <v>19</v>
      </c>
      <c r="B544" s="7" t="s">
        <v>20</v>
      </c>
      <c r="C544" s="7">
        <v>15.0</v>
      </c>
      <c r="D544" s="21">
        <v>0.96</v>
      </c>
      <c r="E544" s="7">
        <v>3.28</v>
      </c>
      <c r="F544" s="7">
        <v>0.007</v>
      </c>
      <c r="G544" s="23">
        <v>237.592705548</v>
      </c>
      <c r="H544" s="24">
        <f t="shared" si="73"/>
        <v>0.6678</v>
      </c>
      <c r="I544" s="25">
        <f t="shared" si="74"/>
        <v>0.6</v>
      </c>
      <c r="J544" s="24">
        <f t="shared" si="75"/>
        <v>0.6063608059</v>
      </c>
      <c r="K544" s="24">
        <f t="shared" si="76"/>
        <v>0.3735150894</v>
      </c>
      <c r="L544" s="24">
        <f t="shared" si="5"/>
        <v>1.003975504</v>
      </c>
    </row>
    <row r="545">
      <c r="A545" s="20" t="s">
        <v>19</v>
      </c>
      <c r="B545" s="7" t="s">
        <v>20</v>
      </c>
      <c r="C545" s="7">
        <v>16.0</v>
      </c>
      <c r="D545" s="21">
        <v>0.96</v>
      </c>
      <c r="E545" s="7">
        <v>3.18</v>
      </c>
      <c r="F545" s="7">
        <v>0.007</v>
      </c>
      <c r="G545" s="23">
        <v>230.935097014</v>
      </c>
      <c r="H545" s="24">
        <f t="shared" si="73"/>
        <v>0.6678</v>
      </c>
      <c r="I545" s="25">
        <f t="shared" si="74"/>
        <v>0.6</v>
      </c>
      <c r="J545" s="24">
        <f t="shared" si="75"/>
        <v>0.5580570605</v>
      </c>
      <c r="K545" s="24">
        <f t="shared" si="76"/>
        <v>0.3850950105</v>
      </c>
      <c r="L545" s="24">
        <f t="shared" si="5"/>
        <v>0.9737856628</v>
      </c>
    </row>
    <row r="546">
      <c r="A546" s="20" t="s">
        <v>19</v>
      </c>
      <c r="B546" s="7" t="s">
        <v>20</v>
      </c>
      <c r="C546" s="7">
        <v>17.0</v>
      </c>
      <c r="D546" s="21">
        <v>0.96</v>
      </c>
      <c r="E546" s="7">
        <v>3.31</v>
      </c>
      <c r="F546" s="7">
        <v>0.007</v>
      </c>
      <c r="G546" s="23">
        <v>236.908960253999</v>
      </c>
      <c r="H546" s="24">
        <f t="shared" si="73"/>
        <v>0.6678</v>
      </c>
      <c r="I546" s="25">
        <f t="shared" si="74"/>
        <v>0.6</v>
      </c>
      <c r="J546" s="24">
        <f t="shared" si="75"/>
        <v>0.6013999467</v>
      </c>
      <c r="K546" s="24">
        <f t="shared" si="76"/>
        <v>0.3746721743</v>
      </c>
      <c r="L546" s="24">
        <f t="shared" si="5"/>
        <v>1.000874967</v>
      </c>
    </row>
    <row r="547">
      <c r="A547" s="20" t="s">
        <v>19</v>
      </c>
      <c r="B547" s="7" t="s">
        <v>20</v>
      </c>
      <c r="C547" s="7">
        <v>18.0</v>
      </c>
      <c r="D547" s="21">
        <v>0.96</v>
      </c>
      <c r="E547" s="7">
        <v>3.73</v>
      </c>
      <c r="F547" s="7">
        <v>0.008</v>
      </c>
      <c r="G547" s="23">
        <v>271.473624575</v>
      </c>
      <c r="H547" s="24">
        <f t="shared" si="73"/>
        <v>0.7632</v>
      </c>
      <c r="I547" s="25">
        <f t="shared" si="74"/>
        <v>0.8</v>
      </c>
      <c r="J547" s="24">
        <f t="shared" si="75"/>
        <v>0.8521810998</v>
      </c>
      <c r="K547" s="24">
        <f t="shared" si="76"/>
        <v>0.2879488045</v>
      </c>
      <c r="L547" s="24">
        <f t="shared" si="5"/>
        <v>1.0289895</v>
      </c>
    </row>
    <row r="548">
      <c r="A548" s="20" t="s">
        <v>19</v>
      </c>
      <c r="B548" s="7" t="s">
        <v>20</v>
      </c>
      <c r="C548" s="7">
        <v>19.0</v>
      </c>
      <c r="D548" s="21">
        <v>0.96</v>
      </c>
      <c r="E548" s="7">
        <v>3.1</v>
      </c>
      <c r="F548" s="7">
        <v>0.007</v>
      </c>
      <c r="G548" s="23">
        <v>227.208308983999</v>
      </c>
      <c r="H548" s="24">
        <f t="shared" si="73"/>
        <v>0.6678</v>
      </c>
      <c r="I548" s="25">
        <f t="shared" si="74"/>
        <v>0.6</v>
      </c>
      <c r="J548" s="24">
        <f t="shared" si="75"/>
        <v>0.5310176485</v>
      </c>
      <c r="K548" s="24">
        <f t="shared" si="76"/>
        <v>0.3918962009</v>
      </c>
      <c r="L548" s="24">
        <f t="shared" si="5"/>
        <v>0.9568860303</v>
      </c>
    </row>
    <row r="549">
      <c r="A549" s="20" t="s">
        <v>19</v>
      </c>
      <c r="B549" s="7" t="s">
        <v>20</v>
      </c>
      <c r="C549" s="7">
        <v>20.0</v>
      </c>
      <c r="D549" s="21">
        <v>0.96</v>
      </c>
      <c r="E549" s="7">
        <v>3.27</v>
      </c>
      <c r="F549" s="7">
        <v>0.007</v>
      </c>
      <c r="G549" s="23">
        <v>238.297757497999</v>
      </c>
      <c r="H549" s="24">
        <f t="shared" si="73"/>
        <v>0.6678</v>
      </c>
      <c r="I549" s="25">
        <f t="shared" si="74"/>
        <v>0.6</v>
      </c>
      <c r="J549" s="24">
        <f t="shared" si="75"/>
        <v>0.6114762538</v>
      </c>
      <c r="K549" s="24">
        <f t="shared" si="76"/>
        <v>0.3723294083</v>
      </c>
      <c r="L549" s="24">
        <f t="shared" si="5"/>
        <v>1.007172659</v>
      </c>
    </row>
    <row r="550">
      <c r="A550" s="20" t="s">
        <v>19</v>
      </c>
      <c r="B550" s="7" t="s">
        <v>20</v>
      </c>
      <c r="C550" s="7">
        <v>21.0</v>
      </c>
      <c r="D550" s="21">
        <v>0.96</v>
      </c>
      <c r="E550" s="7">
        <v>2.95</v>
      </c>
      <c r="F550" s="7">
        <v>0.006</v>
      </c>
      <c r="G550" s="23">
        <v>218.690558771</v>
      </c>
      <c r="H550" s="24">
        <f t="shared" si="73"/>
        <v>0.5724</v>
      </c>
      <c r="I550" s="25">
        <f t="shared" si="74"/>
        <v>0.4</v>
      </c>
      <c r="J550" s="24">
        <f t="shared" si="75"/>
        <v>0.4692177941</v>
      </c>
      <c r="K550" s="24">
        <f t="shared" si="76"/>
        <v>0.4667206513</v>
      </c>
      <c r="L550" s="24">
        <f t="shared" si="5"/>
        <v>1.049441282</v>
      </c>
    </row>
    <row r="551">
      <c r="A551" s="20" t="s">
        <v>19</v>
      </c>
      <c r="B551" s="7" t="s">
        <v>20</v>
      </c>
      <c r="C551" s="7">
        <v>22.0</v>
      </c>
      <c r="D551" s="21">
        <v>0.96</v>
      </c>
      <c r="E551" s="7">
        <v>3.62</v>
      </c>
      <c r="F551" s="7">
        <v>0.008</v>
      </c>
      <c r="G551" s="23">
        <v>251.735648967</v>
      </c>
      <c r="H551" s="24">
        <f t="shared" si="73"/>
        <v>0.7632</v>
      </c>
      <c r="I551" s="25">
        <f t="shared" si="74"/>
        <v>0.8</v>
      </c>
      <c r="J551" s="24">
        <f t="shared" si="75"/>
        <v>0.7089737989</v>
      </c>
      <c r="K551" s="24">
        <f t="shared" si="76"/>
        <v>0.3120781218</v>
      </c>
      <c r="L551" s="24">
        <f t="shared" si="5"/>
        <v>0.9494298883</v>
      </c>
    </row>
    <row r="552">
      <c r="A552" s="20" t="s">
        <v>19</v>
      </c>
      <c r="B552" s="7" t="s">
        <v>20</v>
      </c>
      <c r="C552" s="7">
        <v>23.0</v>
      </c>
      <c r="D552" s="21">
        <v>0.96</v>
      </c>
      <c r="E552" s="7">
        <v>3.3</v>
      </c>
      <c r="F552" s="7">
        <v>0.007</v>
      </c>
      <c r="G552" s="23">
        <v>237.933586301999</v>
      </c>
      <c r="H552" s="24">
        <f t="shared" si="73"/>
        <v>0.6678</v>
      </c>
      <c r="I552" s="25">
        <f t="shared" si="74"/>
        <v>0.6</v>
      </c>
      <c r="J552" s="24">
        <f t="shared" si="75"/>
        <v>0.6088340389</v>
      </c>
      <c r="K552" s="24">
        <f t="shared" si="76"/>
        <v>0.372940891</v>
      </c>
      <c r="L552" s="24">
        <f t="shared" si="5"/>
        <v>1.005521274</v>
      </c>
    </row>
    <row r="553">
      <c r="A553" s="20" t="s">
        <v>19</v>
      </c>
      <c r="B553" s="7" t="s">
        <v>20</v>
      </c>
      <c r="C553" s="7">
        <v>24.0</v>
      </c>
      <c r="D553" s="21">
        <v>0.96</v>
      </c>
      <c r="E553" s="7">
        <v>3.76</v>
      </c>
      <c r="F553" s="7">
        <v>0.008</v>
      </c>
      <c r="G553" s="23">
        <v>264.08438582</v>
      </c>
      <c r="H553" s="24">
        <f t="shared" si="73"/>
        <v>0.7632</v>
      </c>
      <c r="I553" s="25">
        <f t="shared" si="74"/>
        <v>0.8</v>
      </c>
      <c r="J553" s="24">
        <f t="shared" si="75"/>
        <v>0.7985690699</v>
      </c>
      <c r="K553" s="24">
        <f t="shared" si="76"/>
        <v>0.2965320277</v>
      </c>
      <c r="L553" s="24">
        <f t="shared" si="5"/>
        <v>0.9992050389</v>
      </c>
    </row>
    <row r="554">
      <c r="A554" s="20" t="s">
        <v>19</v>
      </c>
      <c r="B554" s="7" t="s">
        <v>20</v>
      </c>
      <c r="C554" s="7">
        <v>25.0</v>
      </c>
      <c r="D554" s="21">
        <v>0.96</v>
      </c>
      <c r="E554" s="7">
        <v>4.12</v>
      </c>
      <c r="F554" s="7">
        <v>0.009</v>
      </c>
      <c r="G554" s="23">
        <v>291.847207683999</v>
      </c>
      <c r="H554" s="24">
        <f t="shared" si="73"/>
        <v>0.8586</v>
      </c>
      <c r="I554" s="25">
        <f t="shared" si="74"/>
        <v>1</v>
      </c>
      <c r="J554" s="24">
        <f t="shared" si="75"/>
        <v>1</v>
      </c>
      <c r="K554" s="24">
        <f t="shared" si="76"/>
        <v>0.24</v>
      </c>
      <c r="L554" s="24">
        <f t="shared" si="5"/>
        <v>1</v>
      </c>
    </row>
    <row r="555">
      <c r="A555" s="20" t="s">
        <v>19</v>
      </c>
      <c r="B555" s="7" t="s">
        <v>20</v>
      </c>
      <c r="C555" s="7">
        <v>26.0</v>
      </c>
      <c r="D555" s="21">
        <v>0.96</v>
      </c>
      <c r="E555" s="7">
        <v>3.49</v>
      </c>
      <c r="F555" s="7">
        <v>0.007</v>
      </c>
      <c r="G555" s="23">
        <v>244.896780272999</v>
      </c>
      <c r="H555" s="24">
        <f t="shared" si="73"/>
        <v>0.6678</v>
      </c>
      <c r="I555" s="25">
        <f t="shared" si="74"/>
        <v>0.6</v>
      </c>
      <c r="J555" s="24">
        <f t="shared" si="75"/>
        <v>0.6593549349</v>
      </c>
      <c r="K555" s="24">
        <f t="shared" si="76"/>
        <v>0.3615862932</v>
      </c>
      <c r="L555" s="24">
        <f t="shared" si="5"/>
        <v>1.037096834</v>
      </c>
    </row>
    <row r="556">
      <c r="A556" s="20" t="s">
        <v>19</v>
      </c>
      <c r="B556" s="7" t="s">
        <v>20</v>
      </c>
      <c r="C556" s="7">
        <v>27.0</v>
      </c>
      <c r="D556" s="21">
        <v>0.96</v>
      </c>
      <c r="E556" s="7">
        <v>2.74</v>
      </c>
      <c r="F556" s="7">
        <v>0.006</v>
      </c>
      <c r="G556" s="23">
        <v>200.572244979</v>
      </c>
      <c r="H556" s="24">
        <f t="shared" si="73"/>
        <v>0.5724</v>
      </c>
      <c r="I556" s="25">
        <f t="shared" si="74"/>
        <v>0.4</v>
      </c>
      <c r="J556" s="24">
        <f t="shared" si="75"/>
        <v>0.3377618198</v>
      </c>
      <c r="K556" s="24">
        <f t="shared" si="76"/>
        <v>0.5125832383</v>
      </c>
      <c r="L556" s="24">
        <f t="shared" si="5"/>
        <v>0.955544157</v>
      </c>
    </row>
    <row r="557">
      <c r="A557" s="20" t="s">
        <v>19</v>
      </c>
      <c r="B557" s="7" t="s">
        <v>20</v>
      </c>
      <c r="C557" s="7">
        <v>28.0</v>
      </c>
      <c r="D557" s="21">
        <v>0.96</v>
      </c>
      <c r="E557" s="7">
        <v>3.31</v>
      </c>
      <c r="F557" s="7">
        <v>0.007</v>
      </c>
      <c r="G557" s="23">
        <v>244.753326645</v>
      </c>
      <c r="H557" s="24">
        <f t="shared" si="73"/>
        <v>0.6678</v>
      </c>
      <c r="I557" s="25">
        <f t="shared" si="74"/>
        <v>0.6</v>
      </c>
      <c r="J557" s="24">
        <f t="shared" si="75"/>
        <v>0.6583141186</v>
      </c>
      <c r="K557" s="24">
        <f t="shared" si="76"/>
        <v>0.3618132375</v>
      </c>
      <c r="L557" s="24">
        <f t="shared" si="5"/>
        <v>1.036446324</v>
      </c>
    </row>
    <row r="558">
      <c r="A558" s="20" t="s">
        <v>19</v>
      </c>
      <c r="B558" s="7" t="s">
        <v>20</v>
      </c>
      <c r="C558" s="7">
        <v>29.0</v>
      </c>
      <c r="D558" s="21">
        <v>0.96</v>
      </c>
      <c r="E558" s="7">
        <v>0.02</v>
      </c>
      <c r="F558" s="7">
        <v>0.007</v>
      </c>
      <c r="G558" s="23">
        <v>243.546412533</v>
      </c>
      <c r="H558" s="24">
        <f t="shared" si="73"/>
        <v>0.6678</v>
      </c>
      <c r="I558" s="25">
        <f t="shared" si="74"/>
        <v>0.6</v>
      </c>
      <c r="J558" s="24">
        <f t="shared" si="75"/>
        <v>0.64955745</v>
      </c>
      <c r="K558" s="24">
        <f t="shared" si="76"/>
        <v>0.3637339215</v>
      </c>
      <c r="L558" s="24">
        <f t="shared" si="5"/>
        <v>1.030973406</v>
      </c>
    </row>
    <row r="559">
      <c r="A559" s="20" t="s">
        <v>19</v>
      </c>
      <c r="B559" s="7" t="s">
        <v>20</v>
      </c>
      <c r="C559" s="7">
        <v>30.0</v>
      </c>
      <c r="D559" s="21">
        <v>0.96</v>
      </c>
      <c r="E559" s="7">
        <v>3.23</v>
      </c>
      <c r="F559" s="7">
        <v>0.007</v>
      </c>
      <c r="G559" s="23">
        <v>231.670644832</v>
      </c>
      <c r="H559" s="24">
        <f t="shared" si="73"/>
        <v>0.6678</v>
      </c>
      <c r="I559" s="25">
        <f t="shared" si="74"/>
        <v>0.6</v>
      </c>
      <c r="J559" s="24">
        <f t="shared" si="75"/>
        <v>0.5633937687</v>
      </c>
      <c r="K559" s="24">
        <f t="shared" si="76"/>
        <v>0.383780473</v>
      </c>
      <c r="L559" s="24">
        <f t="shared" si="5"/>
        <v>0.9771211055</v>
      </c>
    </row>
    <row r="560">
      <c r="A560" s="20" t="s">
        <v>19</v>
      </c>
      <c r="B560" s="7" t="s">
        <v>20</v>
      </c>
      <c r="C560" s="7">
        <v>31.0</v>
      </c>
      <c r="D560" s="21">
        <v>0.96</v>
      </c>
      <c r="E560" s="7">
        <v>3.28</v>
      </c>
      <c r="F560" s="7">
        <v>0.007</v>
      </c>
      <c r="G560" s="23">
        <v>235.663492916</v>
      </c>
      <c r="H560" s="24">
        <f t="shared" si="73"/>
        <v>0.6678</v>
      </c>
      <c r="I560" s="25">
        <f t="shared" si="74"/>
        <v>0.6</v>
      </c>
      <c r="J560" s="24">
        <f t="shared" si="75"/>
        <v>0.5923635582</v>
      </c>
      <c r="K560" s="24">
        <f t="shared" si="76"/>
        <v>0.3767983743</v>
      </c>
      <c r="L560" s="24">
        <f t="shared" si="5"/>
        <v>0.9952272239</v>
      </c>
    </row>
    <row r="561">
      <c r="A561" s="20" t="s">
        <v>19</v>
      </c>
      <c r="B561" s="7" t="s">
        <v>20</v>
      </c>
      <c r="C561" s="7">
        <v>32.0</v>
      </c>
      <c r="D561" s="21">
        <v>0.96</v>
      </c>
      <c r="E561" s="7">
        <v>2.86</v>
      </c>
      <c r="F561" s="7">
        <v>0.006</v>
      </c>
      <c r="G561" s="23">
        <v>210.528365476</v>
      </c>
      <c r="H561" s="24">
        <f t="shared" si="73"/>
        <v>0.5724</v>
      </c>
      <c r="I561" s="25">
        <f t="shared" si="74"/>
        <v>0.4</v>
      </c>
      <c r="J561" s="24">
        <f t="shared" si="75"/>
        <v>0.4099976545</v>
      </c>
      <c r="K561" s="24">
        <f t="shared" si="76"/>
        <v>0.4863229974</v>
      </c>
      <c r="L561" s="24">
        <f t="shared" si="5"/>
        <v>1.007141182</v>
      </c>
    </row>
    <row r="562">
      <c r="A562" s="20" t="s">
        <v>19</v>
      </c>
      <c r="B562" s="7" t="s">
        <v>20</v>
      </c>
      <c r="C562" s="7">
        <v>33.0</v>
      </c>
      <c r="D562" s="21">
        <v>0.96</v>
      </c>
      <c r="E562" s="7">
        <v>2.75</v>
      </c>
      <c r="F562" s="7">
        <v>0.006</v>
      </c>
      <c r="G562" s="23">
        <v>202.480635655</v>
      </c>
      <c r="H562" s="24">
        <f t="shared" si="73"/>
        <v>0.5724</v>
      </c>
      <c r="I562" s="25">
        <f t="shared" si="74"/>
        <v>0.4</v>
      </c>
      <c r="J562" s="24">
        <f t="shared" si="75"/>
        <v>0.3516079955</v>
      </c>
      <c r="K562" s="24">
        <f t="shared" si="76"/>
        <v>0.5073322206</v>
      </c>
      <c r="L562" s="24">
        <f t="shared" si="5"/>
        <v>0.9654342825</v>
      </c>
    </row>
    <row r="563">
      <c r="A563" s="57" t="s">
        <v>19</v>
      </c>
      <c r="B563" s="58" t="s">
        <v>39</v>
      </c>
      <c r="C563" s="7">
        <v>1.0</v>
      </c>
      <c r="D563" s="21">
        <v>0.95</v>
      </c>
      <c r="E563" s="7">
        <v>1.09</v>
      </c>
      <c r="F563" s="7">
        <v>0.008</v>
      </c>
      <c r="G563" s="23">
        <v>284.412423996</v>
      </c>
      <c r="H563" s="24">
        <f t="shared" ref="H563:H628" si="77">F563*207/5</f>
        <v>0.3312</v>
      </c>
      <c r="I563" s="25">
        <f t="shared" ref="I563:I595" si="78">(H563-MIN($H$563:$H$595))/(MAX($H$563:$H$595)-MIN($H$563:$H$595))</f>
        <v>0.4285714286</v>
      </c>
      <c r="J563" s="24">
        <f t="shared" ref="J563:J595" si="79">(G563-MIN($G$563:$G$595))/(MAX($G$563:$G$595)-MIN($G$563:$G$595))</f>
        <v>0.4250225671</v>
      </c>
      <c r="K563" s="24">
        <f t="shared" ref="K563:K595" si="80">0.95*(1/(1+I563))*(1/(1+J563))*(1-0.0414)</f>
        <v>0.4473395823</v>
      </c>
      <c r="L563" s="24">
        <f t="shared" si="5"/>
        <v>0.997515797</v>
      </c>
    </row>
    <row r="564">
      <c r="A564" s="20" t="s">
        <v>19</v>
      </c>
      <c r="B564" s="7" t="s">
        <v>39</v>
      </c>
      <c r="C564" s="7">
        <v>2.0</v>
      </c>
      <c r="D564" s="21">
        <v>0.95</v>
      </c>
      <c r="E564" s="7">
        <v>1.18</v>
      </c>
      <c r="F564" s="7">
        <v>0.009</v>
      </c>
      <c r="G564" s="23">
        <v>302.027391281999</v>
      </c>
      <c r="H564" s="24">
        <f t="shared" si="77"/>
        <v>0.3726</v>
      </c>
      <c r="I564" s="25">
        <f t="shared" si="78"/>
        <v>0.5714285714</v>
      </c>
      <c r="J564" s="24">
        <f t="shared" si="79"/>
        <v>0.511049294</v>
      </c>
      <c r="K564" s="24">
        <f t="shared" si="80"/>
        <v>0.3835197667</v>
      </c>
      <c r="L564" s="24">
        <f t="shared" si="5"/>
        <v>0.9615768234</v>
      </c>
    </row>
    <row r="565">
      <c r="A565" s="20" t="s">
        <v>19</v>
      </c>
      <c r="B565" s="7" t="s">
        <v>39</v>
      </c>
      <c r="C565" s="7">
        <v>3.0</v>
      </c>
      <c r="D565" s="21">
        <v>0.95</v>
      </c>
      <c r="E565" s="7">
        <v>1.12</v>
      </c>
      <c r="F565" s="7">
        <v>0.008</v>
      </c>
      <c r="G565" s="23">
        <v>290.575827259999</v>
      </c>
      <c r="H565" s="24">
        <f t="shared" si="77"/>
        <v>0.3312</v>
      </c>
      <c r="I565" s="25">
        <f t="shared" si="78"/>
        <v>0.4285714286</v>
      </c>
      <c r="J565" s="24">
        <f t="shared" si="79"/>
        <v>0.4551229585</v>
      </c>
      <c r="K565" s="24">
        <f t="shared" si="80"/>
        <v>0.4380860025</v>
      </c>
      <c r="L565" s="24">
        <f t="shared" si="5"/>
        <v>1.018586071</v>
      </c>
    </row>
    <row r="566">
      <c r="A566" s="20" t="s">
        <v>19</v>
      </c>
      <c r="B566" s="7" t="s">
        <v>39</v>
      </c>
      <c r="C566" s="7">
        <v>4.0</v>
      </c>
      <c r="D566" s="21">
        <v>0.95</v>
      </c>
      <c r="E566" s="7">
        <v>0.75</v>
      </c>
      <c r="F566" s="7">
        <v>0.005</v>
      </c>
      <c r="G566" s="23">
        <v>197.384137693999</v>
      </c>
      <c r="H566" s="24">
        <f t="shared" si="77"/>
        <v>0.207</v>
      </c>
      <c r="I566" s="25">
        <f t="shared" si="78"/>
        <v>0</v>
      </c>
      <c r="J566" s="24">
        <f t="shared" si="79"/>
        <v>0</v>
      </c>
      <c r="K566" s="24">
        <f t="shared" si="80"/>
        <v>0.91067</v>
      </c>
      <c r="L566" s="24">
        <f t="shared" si="5"/>
        <v>1</v>
      </c>
    </row>
    <row r="567">
      <c r="A567" s="20" t="s">
        <v>19</v>
      </c>
      <c r="B567" s="7" t="s">
        <v>39</v>
      </c>
      <c r="C567" s="7">
        <v>5.0</v>
      </c>
      <c r="D567" s="21">
        <v>0.95</v>
      </c>
      <c r="E567" s="7">
        <v>1.38</v>
      </c>
      <c r="F567" s="7">
        <v>0.01</v>
      </c>
      <c r="G567" s="23">
        <v>351.292309038</v>
      </c>
      <c r="H567" s="24">
        <f t="shared" si="77"/>
        <v>0.414</v>
      </c>
      <c r="I567" s="25">
        <f t="shared" si="78"/>
        <v>0.7142857143</v>
      </c>
      <c r="J567" s="24">
        <f t="shared" si="79"/>
        <v>0.7516458024</v>
      </c>
      <c r="K567" s="24">
        <f t="shared" si="80"/>
        <v>0.3032714525</v>
      </c>
      <c r="L567" s="24">
        <f t="shared" si="5"/>
        <v>1.021793385</v>
      </c>
    </row>
    <row r="568">
      <c r="A568" s="20" t="s">
        <v>19</v>
      </c>
      <c r="B568" s="7" t="s">
        <v>39</v>
      </c>
      <c r="C568" s="7">
        <v>6.0</v>
      </c>
      <c r="D568" s="21">
        <v>0.95</v>
      </c>
      <c r="E568" s="7">
        <v>1.2</v>
      </c>
      <c r="F568" s="7">
        <v>0.009</v>
      </c>
      <c r="G568" s="23">
        <v>307.961702915</v>
      </c>
      <c r="H568" s="24">
        <f t="shared" si="77"/>
        <v>0.3726</v>
      </c>
      <c r="I568" s="25">
        <f t="shared" si="78"/>
        <v>0.5714285714</v>
      </c>
      <c r="J568" s="24">
        <f t="shared" si="79"/>
        <v>0.5400308639</v>
      </c>
      <c r="K568" s="24">
        <f t="shared" si="80"/>
        <v>0.3763023757</v>
      </c>
      <c r="L568" s="24">
        <f t="shared" si="5"/>
        <v>0.9800196407</v>
      </c>
    </row>
    <row r="569">
      <c r="A569" s="20" t="s">
        <v>19</v>
      </c>
      <c r="B569" s="7" t="s">
        <v>39</v>
      </c>
      <c r="C569" s="7">
        <v>7.0</v>
      </c>
      <c r="D569" s="21">
        <v>0.95</v>
      </c>
      <c r="E569" s="7">
        <v>1.12</v>
      </c>
      <c r="F569" s="7">
        <v>0.008</v>
      </c>
      <c r="G569" s="23">
        <v>285.418848705</v>
      </c>
      <c r="H569" s="24">
        <f t="shared" si="77"/>
        <v>0.3312</v>
      </c>
      <c r="I569" s="25">
        <f t="shared" si="78"/>
        <v>0.4285714286</v>
      </c>
      <c r="J569" s="24">
        <f t="shared" si="79"/>
        <v>0.4299376727</v>
      </c>
      <c r="K569" s="24">
        <f t="shared" si="80"/>
        <v>0.445801948</v>
      </c>
      <c r="L569" s="24">
        <f t="shared" si="5"/>
        <v>1.000956371</v>
      </c>
    </row>
    <row r="570">
      <c r="A570" s="20" t="s">
        <v>19</v>
      </c>
      <c r="B570" s="7" t="s">
        <v>39</v>
      </c>
      <c r="C570" s="7">
        <v>8.0</v>
      </c>
      <c r="D570" s="21">
        <v>0.95</v>
      </c>
      <c r="E570" s="7">
        <v>1.23</v>
      </c>
      <c r="F570" s="7">
        <v>0.009</v>
      </c>
      <c r="G570" s="23">
        <v>325.488375350999</v>
      </c>
      <c r="H570" s="24">
        <f t="shared" si="77"/>
        <v>0.3726</v>
      </c>
      <c r="I570" s="25">
        <f t="shared" si="78"/>
        <v>0.5714285714</v>
      </c>
      <c r="J570" s="24">
        <f t="shared" si="79"/>
        <v>0.6256263827</v>
      </c>
      <c r="K570" s="24">
        <f t="shared" si="80"/>
        <v>0.3564885997</v>
      </c>
      <c r="L570" s="24">
        <f t="shared" si="5"/>
        <v>1.034489516</v>
      </c>
    </row>
    <row r="571">
      <c r="A571" s="20" t="s">
        <v>19</v>
      </c>
      <c r="B571" s="7" t="s">
        <v>39</v>
      </c>
      <c r="C571" s="7">
        <v>9.0</v>
      </c>
      <c r="D571" s="21">
        <v>0.95</v>
      </c>
      <c r="E571" s="7">
        <v>0.97</v>
      </c>
      <c r="F571" s="7">
        <v>0.007</v>
      </c>
      <c r="G571" s="23">
        <v>258.990944243</v>
      </c>
      <c r="H571" s="24">
        <f t="shared" si="77"/>
        <v>0.2898</v>
      </c>
      <c r="I571" s="25">
        <f t="shared" si="78"/>
        <v>0.2857142857</v>
      </c>
      <c r="J571" s="24">
        <f t="shared" si="79"/>
        <v>0.3008709488</v>
      </c>
      <c r="K571" s="24">
        <f t="shared" si="80"/>
        <v>0.5444805186</v>
      </c>
      <c r="L571" s="24">
        <f t="shared" si="5"/>
        <v>1.011788516</v>
      </c>
    </row>
    <row r="572">
      <c r="A572" s="20" t="s">
        <v>19</v>
      </c>
      <c r="B572" s="7" t="s">
        <v>39</v>
      </c>
      <c r="C572" s="7">
        <v>10.0</v>
      </c>
      <c r="D572" s="21">
        <v>0.95</v>
      </c>
      <c r="E572" s="7">
        <v>0.98</v>
      </c>
      <c r="F572" s="7">
        <v>0.007</v>
      </c>
      <c r="G572" s="23">
        <v>264.976789081</v>
      </c>
      <c r="H572" s="24">
        <f t="shared" si="77"/>
        <v>0.2898</v>
      </c>
      <c r="I572" s="25">
        <f t="shared" si="78"/>
        <v>0.2857142857</v>
      </c>
      <c r="J572" s="24">
        <f t="shared" si="79"/>
        <v>0.3301041929</v>
      </c>
      <c r="K572" s="24">
        <f t="shared" si="80"/>
        <v>0.5325138381</v>
      </c>
      <c r="L572" s="24">
        <f t="shared" si="5"/>
        <v>1.034525483</v>
      </c>
    </row>
    <row r="573">
      <c r="A573" s="20" t="s">
        <v>19</v>
      </c>
      <c r="B573" s="7" t="s">
        <v>39</v>
      </c>
      <c r="C573" s="7">
        <v>11.0</v>
      </c>
      <c r="D573" s="21">
        <v>0.95</v>
      </c>
      <c r="E573" s="7">
        <v>0.78</v>
      </c>
      <c r="F573" s="7">
        <v>0.006</v>
      </c>
      <c r="G573" s="23">
        <v>215.404959213</v>
      </c>
      <c r="H573" s="24">
        <f t="shared" si="77"/>
        <v>0.2484</v>
      </c>
      <c r="I573" s="25">
        <f t="shared" si="78"/>
        <v>0.1428571429</v>
      </c>
      <c r="J573" s="24">
        <f t="shared" si="79"/>
        <v>0.08800880896</v>
      </c>
      <c r="K573" s="24">
        <f t="shared" si="80"/>
        <v>0.7323803295</v>
      </c>
      <c r="L573" s="24">
        <f t="shared" si="5"/>
        <v>0.9520077078</v>
      </c>
    </row>
    <row r="574">
      <c r="A574" s="20" t="s">
        <v>19</v>
      </c>
      <c r="B574" s="7" t="s">
        <v>39</v>
      </c>
      <c r="C574" s="7">
        <v>12.0</v>
      </c>
      <c r="D574" s="21">
        <v>0.95</v>
      </c>
      <c r="E574" s="7">
        <v>0.99</v>
      </c>
      <c r="F574" s="7">
        <v>0.007</v>
      </c>
      <c r="G574" s="23">
        <v>262.809404439</v>
      </c>
      <c r="H574" s="24">
        <f t="shared" si="77"/>
        <v>0.2898</v>
      </c>
      <c r="I574" s="25">
        <f t="shared" si="78"/>
        <v>0.2857142857</v>
      </c>
      <c r="J574" s="24">
        <f t="shared" si="79"/>
        <v>0.3195192737</v>
      </c>
      <c r="K574" s="24">
        <f t="shared" si="80"/>
        <v>0.5367855575</v>
      </c>
      <c r="L574" s="24">
        <f t="shared" si="5"/>
        <v>1.026292768</v>
      </c>
    </row>
    <row r="575">
      <c r="A575" s="20" t="s">
        <v>19</v>
      </c>
      <c r="B575" s="7" t="s">
        <v>39</v>
      </c>
      <c r="C575" s="7">
        <v>13.0</v>
      </c>
      <c r="D575" s="21">
        <v>0.95</v>
      </c>
      <c r="E575" s="7">
        <v>1.02</v>
      </c>
      <c r="F575" s="7">
        <v>0.007</v>
      </c>
      <c r="G575" s="23">
        <v>269.858607637999</v>
      </c>
      <c r="H575" s="24">
        <f t="shared" si="77"/>
        <v>0.2898</v>
      </c>
      <c r="I575" s="25">
        <f t="shared" si="78"/>
        <v>0.2857142857</v>
      </c>
      <c r="J575" s="24">
        <f t="shared" si="79"/>
        <v>0.3539456719</v>
      </c>
      <c r="K575" s="24">
        <f t="shared" si="80"/>
        <v>0.5231368611</v>
      </c>
      <c r="L575" s="24">
        <f t="shared" si="5"/>
        <v>1.053068856</v>
      </c>
    </row>
    <row r="576">
      <c r="A576" s="20" t="s">
        <v>19</v>
      </c>
      <c r="B576" s="7" t="s">
        <v>39</v>
      </c>
      <c r="C576" s="7">
        <v>14.0</v>
      </c>
      <c r="D576" s="21">
        <v>0.95</v>
      </c>
      <c r="E576" s="7">
        <v>1.22</v>
      </c>
      <c r="F576" s="7">
        <v>0.009</v>
      </c>
      <c r="G576" s="23">
        <v>312.774207374999</v>
      </c>
      <c r="H576" s="24">
        <f t="shared" si="77"/>
        <v>0.3726</v>
      </c>
      <c r="I576" s="25">
        <f t="shared" si="78"/>
        <v>0.5714285714</v>
      </c>
      <c r="J576" s="24">
        <f t="shared" si="79"/>
        <v>0.5635338316</v>
      </c>
      <c r="K576" s="24">
        <f t="shared" si="80"/>
        <v>0.3706458159</v>
      </c>
      <c r="L576" s="24">
        <f t="shared" si="5"/>
        <v>0.9949760746</v>
      </c>
    </row>
    <row r="577">
      <c r="A577" s="20" t="s">
        <v>19</v>
      </c>
      <c r="B577" s="7" t="s">
        <v>39</v>
      </c>
      <c r="C577" s="7">
        <v>15.0</v>
      </c>
      <c r="D577" s="21">
        <v>0.95</v>
      </c>
      <c r="E577" s="7">
        <v>1.03</v>
      </c>
      <c r="F577" s="7">
        <v>0.007</v>
      </c>
      <c r="G577" s="23">
        <v>266.794307483</v>
      </c>
      <c r="H577" s="24">
        <f t="shared" si="77"/>
        <v>0.2898</v>
      </c>
      <c r="I577" s="25">
        <f t="shared" si="78"/>
        <v>0.2857142857</v>
      </c>
      <c r="J577" s="24">
        <f t="shared" si="79"/>
        <v>0.3389804603</v>
      </c>
      <c r="K577" s="24">
        <f t="shared" si="80"/>
        <v>0.5289837379</v>
      </c>
      <c r="L577" s="24">
        <f t="shared" si="5"/>
        <v>1.041429247</v>
      </c>
    </row>
    <row r="578">
      <c r="A578" s="20" t="s">
        <v>19</v>
      </c>
      <c r="B578" s="7" t="s">
        <v>39</v>
      </c>
      <c r="C578" s="7">
        <v>16.0</v>
      </c>
      <c r="D578" s="21">
        <v>0.95</v>
      </c>
      <c r="E578" s="7">
        <v>0.97</v>
      </c>
      <c r="F578" s="7">
        <v>0.007</v>
      </c>
      <c r="G578" s="23">
        <v>254.108268258999</v>
      </c>
      <c r="H578" s="24">
        <f t="shared" si="77"/>
        <v>0.2898</v>
      </c>
      <c r="I578" s="25">
        <f t="shared" si="78"/>
        <v>0.2857142857</v>
      </c>
      <c r="J578" s="24">
        <f t="shared" si="79"/>
        <v>0.2770252824</v>
      </c>
      <c r="K578" s="24">
        <f t="shared" si="80"/>
        <v>0.5546475067</v>
      </c>
      <c r="L578" s="24">
        <f t="shared" si="5"/>
        <v>0.9932418863</v>
      </c>
    </row>
    <row r="579">
      <c r="A579" s="20" t="s">
        <v>19</v>
      </c>
      <c r="B579" s="7" t="s">
        <v>39</v>
      </c>
      <c r="C579" s="7">
        <v>17.0</v>
      </c>
      <c r="D579" s="21">
        <v>0.95</v>
      </c>
      <c r="E579" s="7">
        <v>1.13</v>
      </c>
      <c r="F579" s="7">
        <v>0.008</v>
      </c>
      <c r="G579" s="23">
        <v>283.642986697</v>
      </c>
      <c r="H579" s="24">
        <f t="shared" si="77"/>
        <v>0.3312</v>
      </c>
      <c r="I579" s="25">
        <f t="shared" si="78"/>
        <v>0.4285714286</v>
      </c>
      <c r="J579" s="24">
        <f t="shared" si="79"/>
        <v>0.4212648439</v>
      </c>
      <c r="K579" s="24">
        <f t="shared" si="80"/>
        <v>0.4485223164</v>
      </c>
      <c r="L579" s="24">
        <f t="shared" si="5"/>
        <v>0.9948853907</v>
      </c>
    </row>
    <row r="580">
      <c r="A580" s="20" t="s">
        <v>19</v>
      </c>
      <c r="B580" s="7" t="s">
        <v>39</v>
      </c>
      <c r="C580" s="7">
        <v>18.0</v>
      </c>
      <c r="D580" s="21">
        <v>0.95</v>
      </c>
      <c r="E580" s="7">
        <v>1.12</v>
      </c>
      <c r="F580" s="7">
        <v>0.008</v>
      </c>
      <c r="G580" s="23">
        <v>281.763057681999</v>
      </c>
      <c r="H580" s="24">
        <f t="shared" si="77"/>
        <v>0.3312</v>
      </c>
      <c r="I580" s="25">
        <f t="shared" si="78"/>
        <v>0.4285714286</v>
      </c>
      <c r="J580" s="24">
        <f t="shared" si="79"/>
        <v>0.41208378</v>
      </c>
      <c r="K580" s="24">
        <f t="shared" si="80"/>
        <v>0.4514385117</v>
      </c>
      <c r="L580" s="24">
        <f t="shared" si="5"/>
        <v>0.988458646</v>
      </c>
    </row>
    <row r="581">
      <c r="A581" s="20" t="s">
        <v>19</v>
      </c>
      <c r="B581" s="7" t="s">
        <v>39</v>
      </c>
      <c r="C581" s="7">
        <v>19.0</v>
      </c>
      <c r="D581" s="21">
        <v>0.95</v>
      </c>
      <c r="E581" s="7">
        <v>0.93</v>
      </c>
      <c r="F581" s="7">
        <v>0.007</v>
      </c>
      <c r="G581" s="23">
        <v>236.044708612999</v>
      </c>
      <c r="H581" s="24">
        <f t="shared" si="77"/>
        <v>0.2898</v>
      </c>
      <c r="I581" s="25">
        <f t="shared" si="78"/>
        <v>0.2857142857</v>
      </c>
      <c r="J581" s="24">
        <f t="shared" si="79"/>
        <v>0.188807752</v>
      </c>
      <c r="K581" s="24">
        <f t="shared" si="80"/>
        <v>0.5958060819</v>
      </c>
      <c r="L581" s="24">
        <f t="shared" si="5"/>
        <v>0.9246282516</v>
      </c>
    </row>
    <row r="582">
      <c r="A582" s="20" t="s">
        <v>19</v>
      </c>
      <c r="B582" s="7" t="s">
        <v>39</v>
      </c>
      <c r="C582" s="7">
        <v>20.0</v>
      </c>
      <c r="D582" s="21">
        <v>0.95</v>
      </c>
      <c r="E582" s="7">
        <v>1.25</v>
      </c>
      <c r="F582" s="7">
        <v>0.009</v>
      </c>
      <c r="G582" s="23">
        <v>311.703317814</v>
      </c>
      <c r="H582" s="24">
        <f t="shared" si="77"/>
        <v>0.3726</v>
      </c>
      <c r="I582" s="25">
        <f t="shared" si="78"/>
        <v>0.5714285714</v>
      </c>
      <c r="J582" s="24">
        <f t="shared" si="79"/>
        <v>0.5583038972</v>
      </c>
      <c r="K582" s="24">
        <f t="shared" si="80"/>
        <v>0.3718897667</v>
      </c>
      <c r="L582" s="24">
        <f t="shared" si="5"/>
        <v>0.9916479346</v>
      </c>
    </row>
    <row r="583">
      <c r="A583" s="20" t="s">
        <v>19</v>
      </c>
      <c r="B583" s="7" t="s">
        <v>39</v>
      </c>
      <c r="C583" s="7">
        <v>21.0</v>
      </c>
      <c r="D583" s="21">
        <v>0.95</v>
      </c>
      <c r="E583" s="7">
        <v>0.92</v>
      </c>
      <c r="F583" s="7">
        <v>0.007</v>
      </c>
      <c r="G583" s="23">
        <v>236.719787324999</v>
      </c>
      <c r="H583" s="24">
        <f t="shared" si="77"/>
        <v>0.2898</v>
      </c>
      <c r="I583" s="25">
        <f t="shared" si="78"/>
        <v>0.2857142857</v>
      </c>
      <c r="J583" s="24">
        <f t="shared" si="79"/>
        <v>0.1921046535</v>
      </c>
      <c r="K583" s="24">
        <f t="shared" si="80"/>
        <v>0.5941583122</v>
      </c>
      <c r="L583" s="24">
        <f t="shared" si="5"/>
        <v>0.9271925083</v>
      </c>
    </row>
    <row r="584">
      <c r="A584" s="20" t="s">
        <v>19</v>
      </c>
      <c r="B584" s="7" t="s">
        <v>39</v>
      </c>
      <c r="C584" s="7">
        <v>22.0</v>
      </c>
      <c r="D584" s="21">
        <v>0.95</v>
      </c>
      <c r="E584" s="7">
        <v>1.24</v>
      </c>
      <c r="F584" s="7">
        <v>0.009</v>
      </c>
      <c r="G584" s="23">
        <v>298.230633399</v>
      </c>
      <c r="H584" s="24">
        <f t="shared" si="77"/>
        <v>0.3726</v>
      </c>
      <c r="I584" s="25">
        <f t="shared" si="78"/>
        <v>0.5714285714</v>
      </c>
      <c r="J584" s="24">
        <f t="shared" si="79"/>
        <v>0.4925069573</v>
      </c>
      <c r="K584" s="24">
        <f t="shared" si="80"/>
        <v>0.3882844699</v>
      </c>
      <c r="L584" s="24">
        <f t="shared" si="5"/>
        <v>0.9497771547</v>
      </c>
    </row>
    <row r="585">
      <c r="A585" s="20" t="s">
        <v>19</v>
      </c>
      <c r="B585" s="7" t="s">
        <v>39</v>
      </c>
      <c r="C585" s="7">
        <v>23.0</v>
      </c>
      <c r="D585" s="21">
        <v>0.95</v>
      </c>
      <c r="E585" s="7">
        <v>1.04</v>
      </c>
      <c r="F585" s="7">
        <v>0.007</v>
      </c>
      <c r="G585" s="23">
        <v>261.885177838</v>
      </c>
      <c r="H585" s="24">
        <f t="shared" si="77"/>
        <v>0.2898</v>
      </c>
      <c r="I585" s="25">
        <f t="shared" si="78"/>
        <v>0.2857142857</v>
      </c>
      <c r="J585" s="24">
        <f t="shared" si="79"/>
        <v>0.3150056014</v>
      </c>
      <c r="K585" s="24">
        <f t="shared" si="80"/>
        <v>0.5386280394</v>
      </c>
      <c r="L585" s="24">
        <f t="shared" si="5"/>
        <v>1.022782134</v>
      </c>
    </row>
    <row r="586">
      <c r="A586" s="20" t="s">
        <v>19</v>
      </c>
      <c r="B586" s="7" t="s">
        <v>39</v>
      </c>
      <c r="C586" s="7">
        <v>24.0</v>
      </c>
      <c r="D586" s="21">
        <v>0.95</v>
      </c>
      <c r="E586" s="7">
        <v>1.33</v>
      </c>
      <c r="F586" s="7">
        <v>0.01</v>
      </c>
      <c r="G586" s="23">
        <v>324.302848525999</v>
      </c>
      <c r="H586" s="24">
        <f t="shared" si="77"/>
        <v>0.414</v>
      </c>
      <c r="I586" s="25">
        <f t="shared" si="78"/>
        <v>0.7142857143</v>
      </c>
      <c r="J586" s="24">
        <f t="shared" si="79"/>
        <v>0.6198365909</v>
      </c>
      <c r="K586" s="24">
        <f t="shared" si="80"/>
        <v>0.3279492324</v>
      </c>
      <c r="L586" s="24">
        <f t="shared" si="5"/>
        <v>0.944904678</v>
      </c>
    </row>
    <row r="587">
      <c r="A587" s="20" t="s">
        <v>19</v>
      </c>
      <c r="B587" s="7" t="s">
        <v>39</v>
      </c>
      <c r="C587" s="7">
        <v>25.0</v>
      </c>
      <c r="D587" s="21">
        <v>0.95</v>
      </c>
      <c r="E587" s="7">
        <v>1.66</v>
      </c>
      <c r="F587" s="7">
        <v>0.012</v>
      </c>
      <c r="G587" s="23">
        <v>402.145703395</v>
      </c>
      <c r="H587" s="24">
        <f t="shared" si="77"/>
        <v>0.4968</v>
      </c>
      <c r="I587" s="25">
        <f t="shared" si="78"/>
        <v>1</v>
      </c>
      <c r="J587" s="24">
        <f t="shared" si="79"/>
        <v>1</v>
      </c>
      <c r="K587" s="24">
        <f t="shared" si="80"/>
        <v>0.2276675</v>
      </c>
      <c r="L587" s="24">
        <f t="shared" si="5"/>
        <v>1</v>
      </c>
    </row>
    <row r="588">
      <c r="A588" s="20" t="s">
        <v>19</v>
      </c>
      <c r="B588" s="7" t="s">
        <v>39</v>
      </c>
      <c r="C588" s="7">
        <v>26.0</v>
      </c>
      <c r="D588" s="21">
        <v>0.95</v>
      </c>
      <c r="E588" s="7">
        <v>1.63</v>
      </c>
      <c r="F588" s="7">
        <v>0.012</v>
      </c>
      <c r="G588" s="23">
        <v>388.485852741999</v>
      </c>
      <c r="H588" s="24">
        <f t="shared" si="77"/>
        <v>0.4968</v>
      </c>
      <c r="I588" s="25">
        <f t="shared" si="78"/>
        <v>1</v>
      </c>
      <c r="J588" s="24">
        <f t="shared" si="79"/>
        <v>0.933288991</v>
      </c>
      <c r="K588" s="24">
        <f t="shared" si="80"/>
        <v>0.2355235053</v>
      </c>
      <c r="L588" s="24">
        <f t="shared" si="5"/>
        <v>0.9666444955</v>
      </c>
    </row>
    <row r="589">
      <c r="A589" s="20" t="s">
        <v>19</v>
      </c>
      <c r="B589" s="7" t="s">
        <v>39</v>
      </c>
      <c r="C589" s="7">
        <v>27.0</v>
      </c>
      <c r="D589" s="21">
        <v>0.95</v>
      </c>
      <c r="E589" s="7">
        <v>0.84</v>
      </c>
      <c r="F589" s="7">
        <v>0.006</v>
      </c>
      <c r="G589" s="23">
        <v>217.390575924</v>
      </c>
      <c r="H589" s="24">
        <f t="shared" si="77"/>
        <v>0.2484</v>
      </c>
      <c r="I589" s="25">
        <f t="shared" si="78"/>
        <v>0.1428571429</v>
      </c>
      <c r="J589" s="24">
        <f t="shared" si="79"/>
        <v>0.09770602291</v>
      </c>
      <c r="K589" s="24">
        <f t="shared" si="80"/>
        <v>0.725910429</v>
      </c>
      <c r="L589" s="24">
        <f t="shared" si="5"/>
        <v>0.96049277</v>
      </c>
    </row>
    <row r="590">
      <c r="A590" s="20" t="s">
        <v>19</v>
      </c>
      <c r="B590" s="7" t="s">
        <v>39</v>
      </c>
      <c r="C590" s="7">
        <v>28.0</v>
      </c>
      <c r="D590" s="21">
        <v>0.95</v>
      </c>
      <c r="E590" s="7">
        <v>1.08</v>
      </c>
      <c r="F590" s="7">
        <v>0.008</v>
      </c>
      <c r="G590" s="23">
        <v>282.705678321</v>
      </c>
      <c r="H590" s="24">
        <f t="shared" si="77"/>
        <v>0.3312</v>
      </c>
      <c r="I590" s="25">
        <f t="shared" si="78"/>
        <v>0.4285714286</v>
      </c>
      <c r="J590" s="24">
        <f t="shared" si="79"/>
        <v>0.4166872837</v>
      </c>
      <c r="K590" s="24">
        <f t="shared" si="80"/>
        <v>0.4499715691</v>
      </c>
      <c r="L590" s="24">
        <f t="shared" si="5"/>
        <v>0.9916810986</v>
      </c>
    </row>
    <row r="591">
      <c r="A591" s="20" t="s">
        <v>19</v>
      </c>
      <c r="B591" s="7" t="s">
        <v>39</v>
      </c>
      <c r="C591" s="7">
        <v>29.0</v>
      </c>
      <c r="D591" s="21">
        <v>0.95</v>
      </c>
      <c r="E591" s="7">
        <v>1.12</v>
      </c>
      <c r="F591" s="7">
        <v>0.008</v>
      </c>
      <c r="G591" s="23">
        <v>276.651548538</v>
      </c>
      <c r="H591" s="24">
        <f t="shared" si="77"/>
        <v>0.3312</v>
      </c>
      <c r="I591" s="25">
        <f t="shared" si="78"/>
        <v>0.4285714286</v>
      </c>
      <c r="J591" s="24">
        <f t="shared" si="79"/>
        <v>0.3871205544</v>
      </c>
      <c r="K591" s="24">
        <f t="shared" si="80"/>
        <v>0.4595627957</v>
      </c>
      <c r="L591" s="24">
        <f t="shared" si="5"/>
        <v>0.9709843881</v>
      </c>
    </row>
    <row r="592">
      <c r="A592" s="20" t="s">
        <v>19</v>
      </c>
      <c r="B592" s="7" t="s">
        <v>39</v>
      </c>
      <c r="C592" s="7">
        <v>30.0</v>
      </c>
      <c r="D592" s="21">
        <v>0.95</v>
      </c>
      <c r="E592" s="7">
        <v>1.15</v>
      </c>
      <c r="F592" s="7">
        <v>0.008</v>
      </c>
      <c r="G592" s="23">
        <v>285.728403924</v>
      </c>
      <c r="H592" s="24">
        <f t="shared" si="77"/>
        <v>0.3312</v>
      </c>
      <c r="I592" s="25">
        <f t="shared" si="78"/>
        <v>0.4285714286</v>
      </c>
      <c r="J592" s="24">
        <f t="shared" si="79"/>
        <v>0.4314494565</v>
      </c>
      <c r="K592" s="24">
        <f t="shared" si="80"/>
        <v>0.4453311272</v>
      </c>
      <c r="L592" s="24">
        <f t="shared" si="5"/>
        <v>1.00201462</v>
      </c>
    </row>
    <row r="593">
      <c r="A593" s="20" t="s">
        <v>19</v>
      </c>
      <c r="B593" s="7" t="s">
        <v>39</v>
      </c>
      <c r="C593" s="7">
        <v>31.0</v>
      </c>
      <c r="D593" s="21">
        <v>0.95</v>
      </c>
      <c r="E593" s="7">
        <v>1.13</v>
      </c>
      <c r="F593" s="7">
        <v>0.008</v>
      </c>
      <c r="G593" s="23">
        <v>282.862565006</v>
      </c>
      <c r="H593" s="24">
        <f t="shared" si="77"/>
        <v>0.3312</v>
      </c>
      <c r="I593" s="25">
        <f t="shared" si="78"/>
        <v>0.4285714286</v>
      </c>
      <c r="J593" s="24">
        <f t="shared" si="79"/>
        <v>0.4174534758</v>
      </c>
      <c r="K593" s="24">
        <f t="shared" si="80"/>
        <v>0.4497283409</v>
      </c>
      <c r="L593" s="24">
        <f t="shared" si="5"/>
        <v>0.9922174331</v>
      </c>
    </row>
    <row r="594">
      <c r="A594" s="20" t="s">
        <v>19</v>
      </c>
      <c r="B594" s="7" t="s">
        <v>39</v>
      </c>
      <c r="C594" s="7">
        <v>32.0</v>
      </c>
      <c r="D594" s="21">
        <v>0.95</v>
      </c>
      <c r="E594" s="7">
        <v>1.0</v>
      </c>
      <c r="F594" s="7">
        <v>0.007</v>
      </c>
      <c r="G594" s="23">
        <v>255.464800756999</v>
      </c>
      <c r="H594" s="24">
        <f t="shared" si="77"/>
        <v>0.2898</v>
      </c>
      <c r="I594" s="25">
        <f t="shared" si="78"/>
        <v>0.2857142857</v>
      </c>
      <c r="J594" s="24">
        <f t="shared" si="79"/>
        <v>0.2836502195</v>
      </c>
      <c r="K594" s="24">
        <f t="shared" si="80"/>
        <v>0.551784963</v>
      </c>
      <c r="L594" s="24">
        <f t="shared" si="5"/>
        <v>0.9983946152</v>
      </c>
    </row>
    <row r="595">
      <c r="A595" s="20" t="s">
        <v>19</v>
      </c>
      <c r="B595" s="7" t="s">
        <v>39</v>
      </c>
      <c r="C595" s="7">
        <v>33.0</v>
      </c>
      <c r="D595" s="21">
        <v>0.95</v>
      </c>
      <c r="E595" s="7">
        <v>0.86</v>
      </c>
      <c r="F595" s="7">
        <v>0.006</v>
      </c>
      <c r="G595" s="23">
        <v>219.540087067</v>
      </c>
      <c r="H595" s="24">
        <f t="shared" si="77"/>
        <v>0.2484</v>
      </c>
      <c r="I595" s="25">
        <f t="shared" si="78"/>
        <v>0.1428571429</v>
      </c>
      <c r="J595" s="24">
        <f t="shared" si="79"/>
        <v>0.1082036529</v>
      </c>
      <c r="K595" s="24">
        <f t="shared" si="80"/>
        <v>0.7190341305</v>
      </c>
      <c r="L595" s="24">
        <f t="shared" si="5"/>
        <v>0.9696781962</v>
      </c>
    </row>
    <row r="596">
      <c r="A596" s="57" t="s">
        <v>19</v>
      </c>
      <c r="B596" s="58" t="s">
        <v>40</v>
      </c>
      <c r="C596" s="7">
        <v>1.0</v>
      </c>
      <c r="D596" s="21">
        <v>0.96</v>
      </c>
      <c r="E596" s="7">
        <v>0.91</v>
      </c>
      <c r="F596" s="7">
        <v>0.007</v>
      </c>
      <c r="G596" s="23">
        <v>235.402586397001</v>
      </c>
      <c r="H596" s="24">
        <f t="shared" si="77"/>
        <v>0.2898</v>
      </c>
      <c r="I596" s="25">
        <f t="shared" ref="I596:I628" si="81">(H596-MIN($H$596:$H$628))/(MAX($H$596:$H$628)-MIN($H$596:$H$628))</f>
        <v>0.6</v>
      </c>
      <c r="J596" s="24">
        <f t="shared" ref="J596:J628" si="82">(G596-MIN($G$596:$G$628))/(MAX($G$596:$G$628)-MIN($G$596:$G$628))</f>
        <v>0.4754076079</v>
      </c>
      <c r="K596" s="24">
        <f t="shared" ref="K596:K628" si="83">0.96*(1/(1+I596))*(1/(1+J596))*(1-0.0207)</f>
        <v>0.3982492681</v>
      </c>
      <c r="L596" s="24">
        <f t="shared" si="5"/>
        <v>0.922129755</v>
      </c>
    </row>
    <row r="597">
      <c r="A597" s="20" t="s">
        <v>19</v>
      </c>
      <c r="B597" s="7" t="s">
        <v>40</v>
      </c>
      <c r="C597" s="7">
        <v>2.0</v>
      </c>
      <c r="D597" s="21">
        <v>0.96</v>
      </c>
      <c r="E597" s="7">
        <v>1.01</v>
      </c>
      <c r="F597" s="7">
        <v>0.007</v>
      </c>
      <c r="G597" s="23">
        <v>259.105660666999</v>
      </c>
      <c r="H597" s="24">
        <f t="shared" si="77"/>
        <v>0.2898</v>
      </c>
      <c r="I597" s="25">
        <f t="shared" si="81"/>
        <v>0.6</v>
      </c>
      <c r="J597" s="24">
        <f t="shared" si="82"/>
        <v>0.6323238972</v>
      </c>
      <c r="K597" s="24">
        <f t="shared" si="83"/>
        <v>0.3599653237</v>
      </c>
      <c r="L597" s="24">
        <f t="shared" si="5"/>
        <v>1.020202436</v>
      </c>
    </row>
    <row r="598">
      <c r="A598" s="20" t="s">
        <v>19</v>
      </c>
      <c r="B598" s="7" t="s">
        <v>40</v>
      </c>
      <c r="C598" s="7">
        <v>3.0</v>
      </c>
      <c r="D598" s="21">
        <v>0.96</v>
      </c>
      <c r="E598" s="7">
        <v>0.88</v>
      </c>
      <c r="F598" s="7">
        <v>0.006</v>
      </c>
      <c r="G598" s="23">
        <v>231.233778975998</v>
      </c>
      <c r="H598" s="24">
        <f t="shared" si="77"/>
        <v>0.2484</v>
      </c>
      <c r="I598" s="25">
        <f t="shared" si="81"/>
        <v>0.4</v>
      </c>
      <c r="J598" s="24">
        <f t="shared" si="82"/>
        <v>0.447809762</v>
      </c>
      <c r="K598" s="24">
        <f t="shared" si="83"/>
        <v>0.4638178424</v>
      </c>
      <c r="L598" s="24">
        <f t="shared" si="5"/>
        <v>1.03414983</v>
      </c>
    </row>
    <row r="599">
      <c r="A599" s="20" t="s">
        <v>19</v>
      </c>
      <c r="B599" s="7" t="s">
        <v>40</v>
      </c>
      <c r="C599" s="7">
        <v>4.0</v>
      </c>
      <c r="D599" s="21">
        <v>0.96</v>
      </c>
      <c r="E599" s="7">
        <v>0.67</v>
      </c>
      <c r="F599" s="7">
        <v>0.005</v>
      </c>
      <c r="G599" s="23">
        <v>176.151880628</v>
      </c>
      <c r="H599" s="24">
        <f t="shared" si="77"/>
        <v>0.207</v>
      </c>
      <c r="I599" s="25">
        <f t="shared" si="81"/>
        <v>0.2</v>
      </c>
      <c r="J599" s="24">
        <f t="shared" si="82"/>
        <v>0.08316309233</v>
      </c>
      <c r="K599" s="24">
        <f t="shared" si="83"/>
        <v>0.7232890463</v>
      </c>
      <c r="L599" s="24">
        <f t="shared" si="5"/>
        <v>0.9026359103</v>
      </c>
    </row>
    <row r="600">
      <c r="A600" s="20" t="s">
        <v>19</v>
      </c>
      <c r="B600" s="7" t="s">
        <v>40</v>
      </c>
      <c r="C600" s="7">
        <v>5.0</v>
      </c>
      <c r="D600" s="21">
        <v>0.96</v>
      </c>
      <c r="E600" s="7">
        <v>1.2</v>
      </c>
      <c r="F600" s="7">
        <v>0.009</v>
      </c>
      <c r="G600" s="23">
        <v>301.948648628997</v>
      </c>
      <c r="H600" s="24">
        <f t="shared" si="77"/>
        <v>0.3726</v>
      </c>
      <c r="I600" s="25">
        <f t="shared" si="81"/>
        <v>1</v>
      </c>
      <c r="J600" s="24">
        <f t="shared" si="82"/>
        <v>0.9159479797</v>
      </c>
      <c r="K600" s="24">
        <f t="shared" si="83"/>
        <v>0.2453427781</v>
      </c>
      <c r="L600" s="24">
        <f t="shared" si="5"/>
        <v>0.9579739898</v>
      </c>
    </row>
    <row r="601">
      <c r="A601" s="20" t="s">
        <v>19</v>
      </c>
      <c r="B601" s="7" t="s">
        <v>40</v>
      </c>
      <c r="C601" s="7">
        <v>6.0</v>
      </c>
      <c r="D601" s="21">
        <v>0.96</v>
      </c>
      <c r="E601" s="7">
        <v>0.85</v>
      </c>
      <c r="F601" s="7">
        <v>0.006</v>
      </c>
      <c r="G601" s="23">
        <v>221.242164871997</v>
      </c>
      <c r="H601" s="24">
        <f t="shared" si="77"/>
        <v>0.2484</v>
      </c>
      <c r="I601" s="25">
        <f t="shared" si="81"/>
        <v>0.4</v>
      </c>
      <c r="J601" s="24">
        <f t="shared" si="82"/>
        <v>0.3816644599</v>
      </c>
      <c r="K601" s="24">
        <f t="shared" si="83"/>
        <v>0.4860224892</v>
      </c>
      <c r="L601" s="24">
        <f t="shared" si="5"/>
        <v>0.9869031856</v>
      </c>
    </row>
    <row r="602">
      <c r="A602" s="20" t="s">
        <v>19</v>
      </c>
      <c r="B602" s="7" t="s">
        <v>40</v>
      </c>
      <c r="C602" s="7">
        <v>7.0</v>
      </c>
      <c r="D602" s="21">
        <v>0.96</v>
      </c>
      <c r="E602" s="7">
        <v>0.91</v>
      </c>
      <c r="F602" s="7">
        <v>0.007</v>
      </c>
      <c r="G602" s="23">
        <v>231.021293664998</v>
      </c>
      <c r="H602" s="24">
        <f t="shared" si="77"/>
        <v>0.2898</v>
      </c>
      <c r="I602" s="25">
        <f t="shared" si="81"/>
        <v>0.6</v>
      </c>
      <c r="J602" s="24">
        <f t="shared" si="82"/>
        <v>0.4464030919</v>
      </c>
      <c r="K602" s="24">
        <f t="shared" si="83"/>
        <v>0.4062353042</v>
      </c>
      <c r="L602" s="24">
        <f t="shared" si="5"/>
        <v>0.9040019324</v>
      </c>
    </row>
    <row r="603">
      <c r="A603" s="20" t="s">
        <v>19</v>
      </c>
      <c r="B603" s="7" t="s">
        <v>40</v>
      </c>
      <c r="C603" s="7">
        <v>8.0</v>
      </c>
      <c r="D603" s="21">
        <v>0.96</v>
      </c>
      <c r="E603" s="7">
        <v>1.26</v>
      </c>
      <c r="F603" s="7">
        <v>0.009</v>
      </c>
      <c r="G603" s="23">
        <v>314.645171661999</v>
      </c>
      <c r="H603" s="24">
        <f t="shared" si="77"/>
        <v>0.3726</v>
      </c>
      <c r="I603" s="25">
        <f t="shared" si="81"/>
        <v>1</v>
      </c>
      <c r="J603" s="24">
        <f t="shared" si="82"/>
        <v>1</v>
      </c>
      <c r="K603" s="24">
        <f t="shared" si="83"/>
        <v>0.235032</v>
      </c>
      <c r="L603" s="24">
        <f t="shared" si="5"/>
        <v>1</v>
      </c>
    </row>
    <row r="604">
      <c r="A604" s="20" t="s">
        <v>19</v>
      </c>
      <c r="B604" s="7" t="s">
        <v>40</v>
      </c>
      <c r="C604" s="7">
        <v>9.0</v>
      </c>
      <c r="D604" s="21">
        <v>0.96</v>
      </c>
      <c r="E604" s="7">
        <v>0.99</v>
      </c>
      <c r="F604" s="7">
        <v>0.007</v>
      </c>
      <c r="G604" s="23">
        <v>252.436705121996</v>
      </c>
      <c r="H604" s="24">
        <f t="shared" si="77"/>
        <v>0.2898</v>
      </c>
      <c r="I604" s="25">
        <f t="shared" si="81"/>
        <v>0.6</v>
      </c>
      <c r="J604" s="24">
        <f t="shared" si="82"/>
        <v>0.5881748663</v>
      </c>
      <c r="K604" s="24">
        <f t="shared" si="83"/>
        <v>0.3699718541</v>
      </c>
      <c r="L604" s="24">
        <f t="shared" si="5"/>
        <v>0.9926092915</v>
      </c>
    </row>
    <row r="605">
      <c r="A605" s="20" t="s">
        <v>19</v>
      </c>
      <c r="B605" s="7" t="s">
        <v>40</v>
      </c>
      <c r="C605" s="7">
        <v>10.0</v>
      </c>
      <c r="D605" s="21">
        <v>0.96</v>
      </c>
      <c r="E605" s="7">
        <v>0.79</v>
      </c>
      <c r="F605" s="7">
        <v>0.006</v>
      </c>
      <c r="G605" s="23">
        <v>205.790243376002</v>
      </c>
      <c r="H605" s="24">
        <f t="shared" si="77"/>
        <v>0.2484</v>
      </c>
      <c r="I605" s="25">
        <f t="shared" si="81"/>
        <v>0.4</v>
      </c>
      <c r="J605" s="24">
        <f t="shared" si="82"/>
        <v>0.2793714765</v>
      </c>
      <c r="K605" s="24">
        <f t="shared" si="83"/>
        <v>0.5248827353</v>
      </c>
      <c r="L605" s="24">
        <f t="shared" si="5"/>
        <v>0.9138367689</v>
      </c>
    </row>
    <row r="606">
      <c r="A606" s="20" t="s">
        <v>19</v>
      </c>
      <c r="B606" s="7" t="s">
        <v>40</v>
      </c>
      <c r="C606" s="7">
        <v>11.0</v>
      </c>
      <c r="D606" s="21">
        <v>0.96</v>
      </c>
      <c r="E606" s="7">
        <v>0.79</v>
      </c>
      <c r="F606" s="7">
        <v>0.006</v>
      </c>
      <c r="G606" s="23">
        <v>205.418288809</v>
      </c>
      <c r="H606" s="24">
        <f t="shared" si="77"/>
        <v>0.2484</v>
      </c>
      <c r="I606" s="25">
        <f t="shared" si="81"/>
        <v>0.4</v>
      </c>
      <c r="J606" s="24">
        <f t="shared" si="82"/>
        <v>0.2769091068</v>
      </c>
      <c r="K606" s="24">
        <f t="shared" si="83"/>
        <v>0.5258949101</v>
      </c>
      <c r="L606" s="24">
        <f t="shared" si="5"/>
        <v>0.9120779335</v>
      </c>
    </row>
    <row r="607">
      <c r="A607" s="20" t="s">
        <v>19</v>
      </c>
      <c r="B607" s="7" t="s">
        <v>40</v>
      </c>
      <c r="C607" s="7">
        <v>12.0</v>
      </c>
      <c r="D607" s="21">
        <v>0.96</v>
      </c>
      <c r="E607" s="7">
        <v>0.62</v>
      </c>
      <c r="F607" s="7">
        <v>0.004</v>
      </c>
      <c r="G607" s="23">
        <v>163.589635093005</v>
      </c>
      <c r="H607" s="24">
        <f t="shared" si="77"/>
        <v>0.1656</v>
      </c>
      <c r="I607" s="25">
        <f t="shared" si="81"/>
        <v>0</v>
      </c>
      <c r="J607" s="24">
        <f t="shared" si="82"/>
        <v>0</v>
      </c>
      <c r="K607" s="24">
        <f t="shared" si="83"/>
        <v>0.940128</v>
      </c>
      <c r="L607" s="24">
        <f t="shared" si="5"/>
        <v>1</v>
      </c>
    </row>
    <row r="608">
      <c r="A608" s="20" t="s">
        <v>19</v>
      </c>
      <c r="B608" s="7" t="s">
        <v>40</v>
      </c>
      <c r="C608" s="7">
        <v>13.0</v>
      </c>
      <c r="D608" s="21">
        <v>0.96</v>
      </c>
      <c r="E608" s="7">
        <v>1.0</v>
      </c>
      <c r="F608" s="7">
        <v>0.007</v>
      </c>
      <c r="G608" s="23">
        <v>257.324697233001</v>
      </c>
      <c r="H608" s="24">
        <f t="shared" si="77"/>
        <v>0.2898</v>
      </c>
      <c r="I608" s="25">
        <f t="shared" si="81"/>
        <v>0.6</v>
      </c>
      <c r="J608" s="24">
        <f t="shared" si="82"/>
        <v>0.6205337737</v>
      </c>
      <c r="K608" s="24">
        <f t="shared" si="83"/>
        <v>0.3625842359</v>
      </c>
      <c r="L608" s="24">
        <f t="shared" si="5"/>
        <v>1.012833609</v>
      </c>
    </row>
    <row r="609">
      <c r="A609" s="20" t="s">
        <v>19</v>
      </c>
      <c r="B609" s="7" t="s">
        <v>40</v>
      </c>
      <c r="C609" s="7">
        <v>14.0</v>
      </c>
      <c r="D609" s="21">
        <v>0.96</v>
      </c>
      <c r="E609" s="7">
        <v>0.9</v>
      </c>
      <c r="F609" s="7">
        <v>0.006</v>
      </c>
      <c r="G609" s="23">
        <v>228.898110099995</v>
      </c>
      <c r="H609" s="24">
        <f t="shared" si="77"/>
        <v>0.2484</v>
      </c>
      <c r="I609" s="25">
        <f t="shared" si="81"/>
        <v>0.4</v>
      </c>
      <c r="J609" s="24">
        <f t="shared" si="82"/>
        <v>0.4323474431</v>
      </c>
      <c r="K609" s="24">
        <f t="shared" si="83"/>
        <v>0.4688247975</v>
      </c>
      <c r="L609" s="24">
        <f t="shared" si="5"/>
        <v>1.023105317</v>
      </c>
    </row>
    <row r="610">
      <c r="A610" s="20" t="s">
        <v>19</v>
      </c>
      <c r="B610" s="7" t="s">
        <v>40</v>
      </c>
      <c r="C610" s="7">
        <v>15.0</v>
      </c>
      <c r="D610" s="21">
        <v>0.96</v>
      </c>
      <c r="E610" s="7">
        <v>1.01</v>
      </c>
      <c r="F610" s="7">
        <v>0.007</v>
      </c>
      <c r="G610" s="23">
        <v>254.511148703</v>
      </c>
      <c r="H610" s="24">
        <f t="shared" si="77"/>
        <v>0.2898</v>
      </c>
      <c r="I610" s="25">
        <f t="shared" si="81"/>
        <v>0.6</v>
      </c>
      <c r="J610" s="24">
        <f t="shared" si="82"/>
        <v>0.6019078524</v>
      </c>
      <c r="K610" s="24">
        <f t="shared" si="83"/>
        <v>0.3668001247</v>
      </c>
      <c r="L610" s="24">
        <f t="shared" si="5"/>
        <v>1.001192408</v>
      </c>
    </row>
    <row r="611">
      <c r="A611" s="20" t="s">
        <v>19</v>
      </c>
      <c r="B611" s="7" t="s">
        <v>40</v>
      </c>
      <c r="C611" s="7">
        <v>16.0</v>
      </c>
      <c r="D611" s="21">
        <v>0.96</v>
      </c>
      <c r="E611" s="7">
        <v>0.92</v>
      </c>
      <c r="F611" s="7">
        <v>0.007</v>
      </c>
      <c r="G611" s="23">
        <v>230.446135377998</v>
      </c>
      <c r="H611" s="24">
        <f t="shared" si="77"/>
        <v>0.2898</v>
      </c>
      <c r="I611" s="25">
        <f t="shared" si="81"/>
        <v>0.6</v>
      </c>
      <c r="J611" s="24">
        <f t="shared" si="82"/>
        <v>0.442595497</v>
      </c>
      <c r="K611" s="24">
        <f t="shared" si="83"/>
        <v>0.407307524</v>
      </c>
      <c r="L611" s="24">
        <f t="shared" si="5"/>
        <v>0.9016221856</v>
      </c>
    </row>
    <row r="612">
      <c r="A612" s="20" t="s">
        <v>19</v>
      </c>
      <c r="B612" s="7" t="s">
        <v>40</v>
      </c>
      <c r="C612" s="7">
        <v>17.0</v>
      </c>
      <c r="D612" s="21">
        <v>0.96</v>
      </c>
      <c r="E612" s="7">
        <v>1.16</v>
      </c>
      <c r="F612" s="7">
        <v>0.008</v>
      </c>
      <c r="G612" s="23">
        <v>285.174408097998</v>
      </c>
      <c r="H612" s="24">
        <f t="shared" si="77"/>
        <v>0.3312</v>
      </c>
      <c r="I612" s="25">
        <f t="shared" si="81"/>
        <v>0.8</v>
      </c>
      <c r="J612" s="24">
        <f t="shared" si="82"/>
        <v>0.8049011361</v>
      </c>
      <c r="K612" s="24">
        <f t="shared" si="83"/>
        <v>0.2893750372</v>
      </c>
      <c r="L612" s="24">
        <f t="shared" si="5"/>
        <v>1.002722853</v>
      </c>
    </row>
    <row r="613">
      <c r="A613" s="20" t="s">
        <v>19</v>
      </c>
      <c r="B613" s="7" t="s">
        <v>40</v>
      </c>
      <c r="C613" s="7">
        <v>18.0</v>
      </c>
      <c r="D613" s="21">
        <v>0.96</v>
      </c>
      <c r="E613" s="7">
        <v>0.98</v>
      </c>
      <c r="F613" s="7">
        <v>0.007</v>
      </c>
      <c r="G613" s="23">
        <v>247.715449622999</v>
      </c>
      <c r="H613" s="24">
        <f t="shared" si="77"/>
        <v>0.2898</v>
      </c>
      <c r="I613" s="25">
        <f t="shared" si="81"/>
        <v>0.6</v>
      </c>
      <c r="J613" s="24">
        <f t="shared" si="82"/>
        <v>0.556919769</v>
      </c>
      <c r="K613" s="24">
        <f t="shared" si="83"/>
        <v>0.3773990232</v>
      </c>
      <c r="L613" s="24">
        <f t="shared" si="5"/>
        <v>0.9730748556</v>
      </c>
    </row>
    <row r="614">
      <c r="A614" s="20" t="s">
        <v>19</v>
      </c>
      <c r="B614" s="7" t="s">
        <v>40</v>
      </c>
      <c r="C614" s="7">
        <v>19.0</v>
      </c>
      <c r="D614" s="21">
        <v>0.96</v>
      </c>
      <c r="E614" s="7">
        <v>1.13</v>
      </c>
      <c r="F614" s="7">
        <v>0.008</v>
      </c>
      <c r="G614" s="23">
        <v>287.844485652</v>
      </c>
      <c r="H614" s="24">
        <f t="shared" si="77"/>
        <v>0.3312</v>
      </c>
      <c r="I614" s="25">
        <f t="shared" si="81"/>
        <v>0.8</v>
      </c>
      <c r="J614" s="24">
        <f t="shared" si="82"/>
        <v>0.8225772678</v>
      </c>
      <c r="K614" s="24">
        <f t="shared" si="83"/>
        <v>0.2865685546</v>
      </c>
      <c r="L614" s="24">
        <f t="shared" si="5"/>
        <v>1.012542927</v>
      </c>
    </row>
    <row r="615">
      <c r="A615" s="20" t="s">
        <v>19</v>
      </c>
      <c r="B615" s="7" t="s">
        <v>40</v>
      </c>
      <c r="C615" s="7">
        <v>20.0</v>
      </c>
      <c r="D615" s="21">
        <v>0.96</v>
      </c>
      <c r="E615" s="7">
        <v>1.24</v>
      </c>
      <c r="F615" s="7">
        <v>0.009</v>
      </c>
      <c r="G615" s="23">
        <v>311.277501812001</v>
      </c>
      <c r="H615" s="24">
        <f t="shared" si="77"/>
        <v>0.3726</v>
      </c>
      <c r="I615" s="25">
        <f t="shared" si="81"/>
        <v>1</v>
      </c>
      <c r="J615" s="24">
        <f t="shared" si="82"/>
        <v>0.9777057503</v>
      </c>
      <c r="K615" s="24">
        <f t="shared" si="83"/>
        <v>0.237681465</v>
      </c>
      <c r="L615" s="24">
        <f t="shared" si="5"/>
        <v>0.9888528752</v>
      </c>
    </row>
    <row r="616">
      <c r="A616" s="20" t="s">
        <v>19</v>
      </c>
      <c r="B616" s="7" t="s">
        <v>40</v>
      </c>
      <c r="C616" s="7">
        <v>21.0</v>
      </c>
      <c r="D616" s="21">
        <v>0.96</v>
      </c>
      <c r="E616" s="7">
        <v>0.87</v>
      </c>
      <c r="F616" s="7">
        <v>0.006</v>
      </c>
      <c r="G616" s="23">
        <v>226.089564420995</v>
      </c>
      <c r="H616" s="24">
        <f t="shared" si="77"/>
        <v>0.2484</v>
      </c>
      <c r="I616" s="25">
        <f t="shared" si="81"/>
        <v>0.4</v>
      </c>
      <c r="J616" s="24">
        <f t="shared" si="82"/>
        <v>0.4137546412</v>
      </c>
      <c r="K616" s="24">
        <f t="shared" si="83"/>
        <v>0.4749904831</v>
      </c>
      <c r="L616" s="24">
        <f t="shared" si="5"/>
        <v>1.009824744</v>
      </c>
    </row>
    <row r="617">
      <c r="A617" s="20" t="s">
        <v>19</v>
      </c>
      <c r="B617" s="7" t="s">
        <v>40</v>
      </c>
      <c r="C617" s="7">
        <v>22.0</v>
      </c>
      <c r="D617" s="21">
        <v>0.96</v>
      </c>
      <c r="E617" s="7">
        <v>1.1</v>
      </c>
      <c r="F617" s="7">
        <v>0.008</v>
      </c>
      <c r="G617" s="23">
        <v>267.919857346001</v>
      </c>
      <c r="H617" s="24">
        <f t="shared" si="77"/>
        <v>0.3312</v>
      </c>
      <c r="I617" s="25">
        <f t="shared" si="81"/>
        <v>0.8</v>
      </c>
      <c r="J617" s="24">
        <f t="shared" si="82"/>
        <v>0.6906745997</v>
      </c>
      <c r="K617" s="24">
        <f t="shared" si="83"/>
        <v>0.3089259952</v>
      </c>
      <c r="L617" s="24">
        <f t="shared" si="5"/>
        <v>0.9392636665</v>
      </c>
    </row>
    <row r="618">
      <c r="A618" s="20" t="s">
        <v>19</v>
      </c>
      <c r="B618" s="7" t="s">
        <v>40</v>
      </c>
      <c r="C618" s="7">
        <v>23.0</v>
      </c>
      <c r="D618" s="21">
        <v>0.96</v>
      </c>
      <c r="E618" s="7">
        <v>0.9</v>
      </c>
      <c r="F618" s="7">
        <v>0.007</v>
      </c>
      <c r="G618" s="23">
        <v>230.777645879999</v>
      </c>
      <c r="H618" s="24">
        <f t="shared" si="77"/>
        <v>0.2898</v>
      </c>
      <c r="I618" s="25">
        <f t="shared" si="81"/>
        <v>0.6</v>
      </c>
      <c r="J618" s="24">
        <f t="shared" si="82"/>
        <v>0.4447901236</v>
      </c>
      <c r="K618" s="24">
        <f t="shared" si="83"/>
        <v>0.4066888266</v>
      </c>
      <c r="L618" s="24">
        <f t="shared" si="5"/>
        <v>0.9029938273</v>
      </c>
    </row>
    <row r="619">
      <c r="A619" s="20" t="s">
        <v>19</v>
      </c>
      <c r="B619" s="7" t="s">
        <v>40</v>
      </c>
      <c r="C619" s="7">
        <v>24.0</v>
      </c>
      <c r="D619" s="21">
        <v>0.96</v>
      </c>
      <c r="E619" s="7">
        <v>1.19</v>
      </c>
      <c r="F619" s="7">
        <v>0.009</v>
      </c>
      <c r="G619" s="23">
        <v>293.634981506998</v>
      </c>
      <c r="H619" s="24">
        <f t="shared" si="77"/>
        <v>0.3726</v>
      </c>
      <c r="I619" s="25">
        <f t="shared" si="81"/>
        <v>1</v>
      </c>
      <c r="J619" s="24">
        <f t="shared" si="82"/>
        <v>0.8609108237</v>
      </c>
      <c r="K619" s="24">
        <f t="shared" si="83"/>
        <v>0.2525988855</v>
      </c>
      <c r="L619" s="24">
        <f t="shared" si="5"/>
        <v>0.9304554119</v>
      </c>
    </row>
    <row r="620">
      <c r="A620" s="20" t="s">
        <v>19</v>
      </c>
      <c r="B620" s="7" t="s">
        <v>40</v>
      </c>
      <c r="C620" s="7">
        <v>25.0</v>
      </c>
      <c r="D620" s="21">
        <v>0.96</v>
      </c>
      <c r="E620" s="7">
        <v>1.18</v>
      </c>
      <c r="F620" s="7">
        <v>0.008</v>
      </c>
      <c r="G620" s="23">
        <v>293.010028620999</v>
      </c>
      <c r="H620" s="24">
        <f t="shared" si="77"/>
        <v>0.3312</v>
      </c>
      <c r="I620" s="25">
        <f t="shared" si="81"/>
        <v>0.8</v>
      </c>
      <c r="J620" s="24">
        <f t="shared" si="82"/>
        <v>0.8567735845</v>
      </c>
      <c r="K620" s="24">
        <f t="shared" si="83"/>
        <v>0.2812908034</v>
      </c>
      <c r="L620" s="24">
        <f t="shared" si="5"/>
        <v>1.03154088</v>
      </c>
    </row>
    <row r="621">
      <c r="A621" s="20" t="s">
        <v>19</v>
      </c>
      <c r="B621" s="7" t="s">
        <v>40</v>
      </c>
      <c r="C621" s="7">
        <v>26.0</v>
      </c>
      <c r="D621" s="21">
        <v>0.96</v>
      </c>
      <c r="E621" s="7">
        <v>1.06</v>
      </c>
      <c r="F621" s="7">
        <v>0.008</v>
      </c>
      <c r="G621" s="23">
        <v>259.983898964004</v>
      </c>
      <c r="H621" s="24">
        <f t="shared" si="77"/>
        <v>0.3312</v>
      </c>
      <c r="I621" s="25">
        <f t="shared" si="81"/>
        <v>0.8</v>
      </c>
      <c r="J621" s="24">
        <f t="shared" si="82"/>
        <v>0.6381379065</v>
      </c>
      <c r="K621" s="24">
        <f t="shared" si="83"/>
        <v>0.3188335556</v>
      </c>
      <c r="L621" s="24">
        <f t="shared" si="5"/>
        <v>0.9100766147</v>
      </c>
    </row>
    <row r="622">
      <c r="A622" s="20" t="s">
        <v>19</v>
      </c>
      <c r="B622" s="7" t="s">
        <v>40</v>
      </c>
      <c r="C622" s="7">
        <v>27.0</v>
      </c>
      <c r="D622" s="21">
        <v>0.96</v>
      </c>
      <c r="E622" s="7">
        <v>0.69</v>
      </c>
      <c r="F622" s="7">
        <v>0.005</v>
      </c>
      <c r="G622" s="23">
        <v>179.463806366999</v>
      </c>
      <c r="H622" s="24">
        <f t="shared" si="77"/>
        <v>0.207</v>
      </c>
      <c r="I622" s="25">
        <f t="shared" si="81"/>
        <v>0.2</v>
      </c>
      <c r="J622" s="24">
        <f t="shared" si="82"/>
        <v>0.1050883115</v>
      </c>
      <c r="K622" s="24">
        <f t="shared" si="83"/>
        <v>0.7089388168</v>
      </c>
      <c r="L622" s="24">
        <f t="shared" si="5"/>
        <v>0.9209069262</v>
      </c>
    </row>
    <row r="623">
      <c r="A623" s="20" t="s">
        <v>19</v>
      </c>
      <c r="B623" s="7" t="s">
        <v>40</v>
      </c>
      <c r="C623" s="7">
        <v>28.0</v>
      </c>
      <c r="D623" s="21">
        <v>0.96</v>
      </c>
      <c r="E623" s="7">
        <v>0.88</v>
      </c>
      <c r="F623" s="7">
        <v>0.006</v>
      </c>
      <c r="G623" s="23">
        <v>227.020849095999</v>
      </c>
      <c r="H623" s="24">
        <f t="shared" si="77"/>
        <v>0.2484</v>
      </c>
      <c r="I623" s="25">
        <f t="shared" si="81"/>
        <v>0.4</v>
      </c>
      <c r="J623" s="24">
        <f t="shared" si="82"/>
        <v>0.4199198218</v>
      </c>
      <c r="K623" s="24">
        <f t="shared" si="83"/>
        <v>0.4729281116</v>
      </c>
      <c r="L623" s="24">
        <f t="shared" si="5"/>
        <v>1.014228444</v>
      </c>
    </row>
    <row r="624">
      <c r="A624" s="20" t="s">
        <v>19</v>
      </c>
      <c r="B624" s="7" t="s">
        <v>40</v>
      </c>
      <c r="C624" s="7">
        <v>29.0</v>
      </c>
      <c r="D624" s="21">
        <v>0.96</v>
      </c>
      <c r="E624" s="7">
        <v>1.05</v>
      </c>
      <c r="F624" s="7">
        <v>0.008</v>
      </c>
      <c r="G624" s="23">
        <v>261.957744516999</v>
      </c>
      <c r="H624" s="24">
        <f t="shared" si="77"/>
        <v>0.3312</v>
      </c>
      <c r="I624" s="25">
        <f t="shared" si="81"/>
        <v>0.8</v>
      </c>
      <c r="J624" s="24">
        <f t="shared" si="82"/>
        <v>0.6512049254</v>
      </c>
      <c r="K624" s="24">
        <f t="shared" si="83"/>
        <v>0.316310426</v>
      </c>
      <c r="L624" s="24">
        <f t="shared" si="5"/>
        <v>0.9173360697</v>
      </c>
    </row>
    <row r="625">
      <c r="A625" s="20" t="s">
        <v>19</v>
      </c>
      <c r="B625" s="7" t="s">
        <v>40</v>
      </c>
      <c r="C625" s="7">
        <v>30.0</v>
      </c>
      <c r="D625" s="21">
        <v>0.96</v>
      </c>
      <c r="E625" s="7">
        <v>0.89</v>
      </c>
      <c r="F625" s="7">
        <v>0.006</v>
      </c>
      <c r="G625" s="23">
        <v>225.696331291001</v>
      </c>
      <c r="H625" s="24">
        <f t="shared" si="77"/>
        <v>0.2484</v>
      </c>
      <c r="I625" s="25">
        <f t="shared" si="81"/>
        <v>0.4</v>
      </c>
      <c r="J625" s="24">
        <f t="shared" si="82"/>
        <v>0.4111514057</v>
      </c>
      <c r="K625" s="24">
        <f t="shared" si="83"/>
        <v>0.4758667265</v>
      </c>
      <c r="L625" s="24">
        <f t="shared" si="5"/>
        <v>1.00796529</v>
      </c>
    </row>
    <row r="626">
      <c r="A626" s="20" t="s">
        <v>19</v>
      </c>
      <c r="B626" s="7" t="s">
        <v>40</v>
      </c>
      <c r="C626" s="7">
        <v>31.0</v>
      </c>
      <c r="D626" s="21">
        <v>0.96</v>
      </c>
      <c r="E626" s="7">
        <v>0.97</v>
      </c>
      <c r="F626" s="7">
        <v>0.007</v>
      </c>
      <c r="G626" s="23">
        <v>245.305717855</v>
      </c>
      <c r="H626" s="24">
        <f t="shared" si="77"/>
        <v>0.2898</v>
      </c>
      <c r="I626" s="25">
        <f t="shared" si="81"/>
        <v>0.6</v>
      </c>
      <c r="J626" s="24">
        <f t="shared" si="82"/>
        <v>0.5409671477</v>
      </c>
      <c r="K626" s="24">
        <f t="shared" si="83"/>
        <v>0.3813059875</v>
      </c>
      <c r="L626" s="24">
        <f t="shared" si="5"/>
        <v>0.9631044673</v>
      </c>
    </row>
    <row r="627">
      <c r="A627" s="20" t="s">
        <v>19</v>
      </c>
      <c r="B627" s="7" t="s">
        <v>40</v>
      </c>
      <c r="C627" s="7">
        <v>32.0</v>
      </c>
      <c r="D627" s="21">
        <v>0.96</v>
      </c>
      <c r="E627" s="7">
        <v>1.0</v>
      </c>
      <c r="F627" s="7">
        <v>0.007</v>
      </c>
      <c r="G627" s="23">
        <v>254.196412801997</v>
      </c>
      <c r="H627" s="24">
        <f t="shared" si="77"/>
        <v>0.2898</v>
      </c>
      <c r="I627" s="25">
        <f t="shared" si="81"/>
        <v>0.6</v>
      </c>
      <c r="J627" s="24">
        <f t="shared" si="82"/>
        <v>0.599824275</v>
      </c>
      <c r="K627" s="24">
        <f t="shared" si="83"/>
        <v>0.3672778374</v>
      </c>
      <c r="L627" s="24">
        <f t="shared" si="5"/>
        <v>0.9998901719</v>
      </c>
    </row>
    <row r="628">
      <c r="A628" s="20" t="s">
        <v>19</v>
      </c>
      <c r="B628" s="7" t="s">
        <v>40</v>
      </c>
      <c r="C628" s="7">
        <v>33.0</v>
      </c>
      <c r="D628" s="21">
        <v>0.96</v>
      </c>
      <c r="E628" s="7">
        <v>0.88</v>
      </c>
      <c r="F628" s="7">
        <v>0.006</v>
      </c>
      <c r="G628" s="23">
        <v>226.571452833995</v>
      </c>
      <c r="H628" s="24">
        <f t="shared" si="77"/>
        <v>0.2484</v>
      </c>
      <c r="I628" s="25">
        <f t="shared" si="81"/>
        <v>0.4</v>
      </c>
      <c r="J628" s="24">
        <f t="shared" si="82"/>
        <v>0.4169447818</v>
      </c>
      <c r="K628" s="24">
        <f t="shared" si="83"/>
        <v>0.4739210791</v>
      </c>
      <c r="L628" s="24">
        <f t="shared" si="5"/>
        <v>1.012103416</v>
      </c>
    </row>
    <row r="629">
      <c r="A629" s="57" t="s">
        <v>19</v>
      </c>
      <c r="B629" s="58" t="s">
        <v>54</v>
      </c>
      <c r="C629" s="7">
        <v>1.0</v>
      </c>
      <c r="D629" s="21">
        <v>0.98</v>
      </c>
      <c r="E629" s="7">
        <v>3.06</v>
      </c>
      <c r="F629" s="7">
        <v>0.007</v>
      </c>
      <c r="G629" s="23">
        <v>217.166087579999</v>
      </c>
      <c r="H629" s="24">
        <f t="shared" ref="H629:H760" si="84">F629*477/5</f>
        <v>0.6678</v>
      </c>
      <c r="I629" s="25">
        <f t="shared" ref="I629:I661" si="85">(H629-MIN($H$629:$H$661))/(MAX($H$629:$H$661)-MIN($H$629:$H$661))</f>
        <v>0.5</v>
      </c>
      <c r="J629" s="24">
        <f t="shared" ref="J629:J661" si="86">(G629-MIN($G$629:$G$661))/(MAX($G$629:$G$661)-MIN($G$629:$G$661))</f>
        <v>0.439393156</v>
      </c>
      <c r="K629" s="24">
        <f t="shared" ref="K629:K661" si="87">0.98*(1/(1+I629))*(1/(1+J629))*(1-0.0954)</f>
        <v>0.4105934024</v>
      </c>
      <c r="L629" s="24">
        <f t="shared" si="5"/>
        <v>0.9595954374</v>
      </c>
    </row>
    <row r="630">
      <c r="A630" s="20" t="s">
        <v>19</v>
      </c>
      <c r="B630" s="7" t="s">
        <v>54</v>
      </c>
      <c r="C630" s="7">
        <v>2.0</v>
      </c>
      <c r="D630" s="21">
        <v>0.98</v>
      </c>
      <c r="E630" s="7">
        <v>3.59</v>
      </c>
      <c r="F630" s="7">
        <v>0.008</v>
      </c>
      <c r="G630" s="23">
        <v>244.807630313</v>
      </c>
      <c r="H630" s="24">
        <f t="shared" si="84"/>
        <v>0.7632</v>
      </c>
      <c r="I630" s="25">
        <f t="shared" si="85"/>
        <v>0.75</v>
      </c>
      <c r="J630" s="24">
        <f t="shared" si="86"/>
        <v>0.6284088006</v>
      </c>
      <c r="K630" s="24">
        <f t="shared" si="87"/>
        <v>0.3110865035</v>
      </c>
      <c r="L630" s="24">
        <f t="shared" si="5"/>
        <v>0.9305193146</v>
      </c>
    </row>
    <row r="631">
      <c r="A631" s="20" t="s">
        <v>19</v>
      </c>
      <c r="B631" s="7" t="s">
        <v>54</v>
      </c>
      <c r="C631" s="7">
        <v>3.0</v>
      </c>
      <c r="D631" s="21">
        <v>0.98</v>
      </c>
      <c r="E631" s="7">
        <v>0.01</v>
      </c>
      <c r="F631" s="7">
        <v>0.006</v>
      </c>
      <c r="G631" s="23">
        <v>186.298604040999</v>
      </c>
      <c r="H631" s="24">
        <f t="shared" si="84"/>
        <v>0.5724</v>
      </c>
      <c r="I631" s="25">
        <f t="shared" si="85"/>
        <v>0.25</v>
      </c>
      <c r="J631" s="24">
        <f t="shared" si="86"/>
        <v>0.2283182044</v>
      </c>
      <c r="K631" s="24">
        <f t="shared" si="87"/>
        <v>0.5773800286</v>
      </c>
      <c r="L631" s="24">
        <f t="shared" si="5"/>
        <v>0.9826545635</v>
      </c>
    </row>
    <row r="632">
      <c r="A632" s="20" t="s">
        <v>19</v>
      </c>
      <c r="B632" s="7" t="s">
        <v>54</v>
      </c>
      <c r="C632" s="7">
        <v>4.0</v>
      </c>
      <c r="D632" s="21">
        <v>0.98</v>
      </c>
      <c r="E632" s="7">
        <v>2.47</v>
      </c>
      <c r="F632" s="7">
        <v>0.005</v>
      </c>
      <c r="G632" s="23">
        <v>170.167015780999</v>
      </c>
      <c r="H632" s="24">
        <f t="shared" si="84"/>
        <v>0.477</v>
      </c>
      <c r="I632" s="25">
        <f t="shared" si="85"/>
        <v>0</v>
      </c>
      <c r="J632" s="24">
        <f t="shared" si="86"/>
        <v>0.1180087842</v>
      </c>
      <c r="K632" s="24">
        <f t="shared" si="87"/>
        <v>0.7929347359</v>
      </c>
      <c r="L632" s="24">
        <f t="shared" si="5"/>
        <v>1.118008784</v>
      </c>
    </row>
    <row r="633">
      <c r="A633" s="20" t="s">
        <v>19</v>
      </c>
      <c r="B633" s="7" t="s">
        <v>54</v>
      </c>
      <c r="C633" s="7">
        <v>5.0</v>
      </c>
      <c r="D633" s="21">
        <v>0.98</v>
      </c>
      <c r="E633" s="7">
        <v>3.07</v>
      </c>
      <c r="F633" s="7">
        <v>0.007</v>
      </c>
      <c r="G633" s="23">
        <v>211.364537768</v>
      </c>
      <c r="H633" s="24">
        <f t="shared" si="84"/>
        <v>0.6678</v>
      </c>
      <c r="I633" s="25">
        <f t="shared" si="85"/>
        <v>0.5</v>
      </c>
      <c r="J633" s="24">
        <f t="shared" si="86"/>
        <v>0.3997215759</v>
      </c>
      <c r="K633" s="24">
        <f t="shared" si="87"/>
        <v>0.4222306375</v>
      </c>
      <c r="L633" s="24">
        <f t="shared" si="5"/>
        <v>0.9331477173</v>
      </c>
    </row>
    <row r="634">
      <c r="A634" s="20" t="s">
        <v>19</v>
      </c>
      <c r="B634" s="7" t="s">
        <v>54</v>
      </c>
      <c r="C634" s="7">
        <v>6.0</v>
      </c>
      <c r="D634" s="21">
        <v>0.98</v>
      </c>
      <c r="E634" s="7">
        <v>2.86</v>
      </c>
      <c r="F634" s="7">
        <v>0.006</v>
      </c>
      <c r="G634" s="23">
        <v>197.769151334</v>
      </c>
      <c r="H634" s="24">
        <f t="shared" si="84"/>
        <v>0.5724</v>
      </c>
      <c r="I634" s="25">
        <f t="shared" si="85"/>
        <v>0.25</v>
      </c>
      <c r="J634" s="24">
        <f t="shared" si="86"/>
        <v>0.3067549584</v>
      </c>
      <c r="K634" s="24">
        <f t="shared" si="87"/>
        <v>0.5427233281</v>
      </c>
      <c r="L634" s="24">
        <f t="shared" si="5"/>
        <v>1.045403967</v>
      </c>
    </row>
    <row r="635">
      <c r="A635" s="20" t="s">
        <v>19</v>
      </c>
      <c r="B635" s="7" t="s">
        <v>54</v>
      </c>
      <c r="C635" s="7">
        <v>7.0</v>
      </c>
      <c r="D635" s="21">
        <v>0.98</v>
      </c>
      <c r="E635" s="7">
        <v>2.75</v>
      </c>
      <c r="F635" s="7">
        <v>0.006</v>
      </c>
      <c r="G635" s="23">
        <v>188.173650058</v>
      </c>
      <c r="H635" s="24">
        <f t="shared" si="84"/>
        <v>0.5724</v>
      </c>
      <c r="I635" s="25">
        <f t="shared" si="85"/>
        <v>0.25</v>
      </c>
      <c r="J635" s="24">
        <f t="shared" si="86"/>
        <v>0.2411399573</v>
      </c>
      <c r="K635" s="24">
        <f t="shared" si="87"/>
        <v>0.5714153314</v>
      </c>
      <c r="L635" s="24">
        <f t="shared" si="5"/>
        <v>0.9929119658</v>
      </c>
    </row>
    <row r="636">
      <c r="A636" s="20" t="s">
        <v>19</v>
      </c>
      <c r="B636" s="7" t="s">
        <v>54</v>
      </c>
      <c r="C636" s="7">
        <v>8.0</v>
      </c>
      <c r="D636" s="21">
        <v>0.98</v>
      </c>
      <c r="E636" s="7">
        <v>4.43</v>
      </c>
      <c r="F636" s="7">
        <v>0.009</v>
      </c>
      <c r="G636" s="23">
        <v>299.148920648999</v>
      </c>
      <c r="H636" s="24">
        <f t="shared" si="84"/>
        <v>0.8586</v>
      </c>
      <c r="I636" s="25">
        <f t="shared" si="85"/>
        <v>1</v>
      </c>
      <c r="J636" s="24">
        <f t="shared" si="86"/>
        <v>1</v>
      </c>
      <c r="K636" s="24">
        <f t="shared" si="87"/>
        <v>0.221627</v>
      </c>
      <c r="L636" s="24">
        <f t="shared" si="5"/>
        <v>1</v>
      </c>
    </row>
    <row r="637">
      <c r="A637" s="20" t="s">
        <v>19</v>
      </c>
      <c r="B637" s="7" t="s">
        <v>54</v>
      </c>
      <c r="C637" s="7">
        <v>9.0</v>
      </c>
      <c r="D637" s="21">
        <v>0.98</v>
      </c>
      <c r="E637" s="7">
        <v>2.82</v>
      </c>
      <c r="F637" s="7">
        <v>0.006</v>
      </c>
      <c r="G637" s="23">
        <v>192.762164816</v>
      </c>
      <c r="H637" s="24">
        <f t="shared" si="84"/>
        <v>0.5724</v>
      </c>
      <c r="I637" s="25">
        <f t="shared" si="85"/>
        <v>0.25</v>
      </c>
      <c r="J637" s="24">
        <f t="shared" si="86"/>
        <v>0.2725166819</v>
      </c>
      <c r="K637" s="24">
        <f t="shared" si="87"/>
        <v>0.5573258175</v>
      </c>
      <c r="L637" s="24">
        <f t="shared" si="5"/>
        <v>1.018013346</v>
      </c>
    </row>
    <row r="638">
      <c r="A638" s="20" t="s">
        <v>19</v>
      </c>
      <c r="B638" s="7" t="s">
        <v>54</v>
      </c>
      <c r="C638" s="7">
        <v>10.0</v>
      </c>
      <c r="D638" s="21">
        <v>0.98</v>
      </c>
      <c r="E638" s="7">
        <v>2.48</v>
      </c>
      <c r="F638" s="7">
        <v>0.005</v>
      </c>
      <c r="G638" s="23">
        <v>171.432196584999</v>
      </c>
      <c r="H638" s="24">
        <f t="shared" si="84"/>
        <v>0.477</v>
      </c>
      <c r="I638" s="25">
        <f t="shared" si="85"/>
        <v>0</v>
      </c>
      <c r="J638" s="24">
        <f t="shared" si="86"/>
        <v>0.1266602175</v>
      </c>
      <c r="K638" s="24">
        <f t="shared" si="87"/>
        <v>0.7868459241</v>
      </c>
      <c r="L638" s="24">
        <f t="shared" si="5"/>
        <v>1.126660218</v>
      </c>
    </row>
    <row r="639">
      <c r="A639" s="20" t="s">
        <v>19</v>
      </c>
      <c r="B639" s="7" t="s">
        <v>54</v>
      </c>
      <c r="C639" s="7">
        <v>11.0</v>
      </c>
      <c r="D639" s="21">
        <v>0.98</v>
      </c>
      <c r="E639" s="7">
        <v>3.02</v>
      </c>
      <c r="F639" s="7">
        <v>0.006</v>
      </c>
      <c r="G639" s="23">
        <v>207.764672321</v>
      </c>
      <c r="H639" s="24">
        <f t="shared" si="84"/>
        <v>0.5724</v>
      </c>
      <c r="I639" s="25">
        <f t="shared" si="85"/>
        <v>0.25</v>
      </c>
      <c r="J639" s="24">
        <f t="shared" si="86"/>
        <v>0.3751053346</v>
      </c>
      <c r="K639" s="24">
        <f t="shared" si="87"/>
        <v>0.5157469629</v>
      </c>
      <c r="L639" s="24">
        <f t="shared" si="5"/>
        <v>1.100084268</v>
      </c>
    </row>
    <row r="640">
      <c r="A640" s="20" t="s">
        <v>19</v>
      </c>
      <c r="B640" s="7" t="s">
        <v>54</v>
      </c>
      <c r="C640" s="7">
        <v>12.0</v>
      </c>
      <c r="D640" s="21">
        <v>0.98</v>
      </c>
      <c r="E640" s="7">
        <v>2.22</v>
      </c>
      <c r="F640" s="7">
        <v>0.005</v>
      </c>
      <c r="G640" s="23">
        <v>152.909476817999</v>
      </c>
      <c r="H640" s="24">
        <f t="shared" si="84"/>
        <v>0.477</v>
      </c>
      <c r="I640" s="25">
        <f t="shared" si="85"/>
        <v>0</v>
      </c>
      <c r="J640" s="24">
        <f t="shared" si="86"/>
        <v>0</v>
      </c>
      <c r="K640" s="24">
        <f t="shared" si="87"/>
        <v>0.886508</v>
      </c>
      <c r="L640" s="24">
        <f t="shared" si="5"/>
        <v>1</v>
      </c>
    </row>
    <row r="641">
      <c r="A641" s="20" t="s">
        <v>19</v>
      </c>
      <c r="B641" s="7" t="s">
        <v>54</v>
      </c>
      <c r="C641" s="7">
        <v>13.0</v>
      </c>
      <c r="D641" s="21">
        <v>0.98</v>
      </c>
      <c r="E641" s="7">
        <v>2.77</v>
      </c>
      <c r="F641" s="7">
        <v>0.006</v>
      </c>
      <c r="G641" s="23">
        <v>188.763819754</v>
      </c>
      <c r="H641" s="24">
        <f t="shared" si="84"/>
        <v>0.5724</v>
      </c>
      <c r="I641" s="25">
        <f t="shared" si="85"/>
        <v>0.25</v>
      </c>
      <c r="J641" s="24">
        <f t="shared" si="86"/>
        <v>0.2451755969</v>
      </c>
      <c r="K641" s="24">
        <f t="shared" si="87"/>
        <v>0.5695633626</v>
      </c>
      <c r="L641" s="24">
        <f t="shared" si="5"/>
        <v>0.9961404775</v>
      </c>
    </row>
    <row r="642">
      <c r="A642" s="20" t="s">
        <v>19</v>
      </c>
      <c r="B642" s="7" t="s">
        <v>54</v>
      </c>
      <c r="C642" s="7">
        <v>14.0</v>
      </c>
      <c r="D642" s="21">
        <v>0.98</v>
      </c>
      <c r="E642" s="7">
        <v>2.87</v>
      </c>
      <c r="F642" s="7">
        <v>0.006</v>
      </c>
      <c r="G642" s="23">
        <v>194.88681683</v>
      </c>
      <c r="H642" s="24">
        <f t="shared" si="84"/>
        <v>0.5724</v>
      </c>
      <c r="I642" s="25">
        <f t="shared" si="85"/>
        <v>0.25</v>
      </c>
      <c r="J642" s="24">
        <f t="shared" si="86"/>
        <v>0.2870452657</v>
      </c>
      <c r="K642" s="24">
        <f t="shared" si="87"/>
        <v>0.5510345431</v>
      </c>
      <c r="L642" s="24">
        <f t="shared" si="5"/>
        <v>1.029636213</v>
      </c>
    </row>
    <row r="643">
      <c r="A643" s="20" t="s">
        <v>19</v>
      </c>
      <c r="B643" s="7" t="s">
        <v>54</v>
      </c>
      <c r="C643" s="7">
        <v>15.0</v>
      </c>
      <c r="D643" s="21">
        <v>0.98</v>
      </c>
      <c r="E643" s="7">
        <v>2.9</v>
      </c>
      <c r="F643" s="7">
        <v>0.006</v>
      </c>
      <c r="G643" s="23">
        <v>195.908623708</v>
      </c>
      <c r="H643" s="24">
        <f t="shared" si="84"/>
        <v>0.5724</v>
      </c>
      <c r="I643" s="25">
        <f t="shared" si="85"/>
        <v>0.25</v>
      </c>
      <c r="J643" s="24">
        <f t="shared" si="86"/>
        <v>0.2940324837</v>
      </c>
      <c r="K643" s="24">
        <f t="shared" si="87"/>
        <v>0.548059194</v>
      </c>
      <c r="L643" s="24">
        <f t="shared" si="5"/>
        <v>1.035225987</v>
      </c>
    </row>
    <row r="644">
      <c r="A644" s="20" t="s">
        <v>19</v>
      </c>
      <c r="B644" s="7" t="s">
        <v>54</v>
      </c>
      <c r="C644" s="7">
        <v>16.0</v>
      </c>
      <c r="D644" s="21">
        <v>0.98</v>
      </c>
      <c r="E644" s="7">
        <v>3.0</v>
      </c>
      <c r="F644" s="7">
        <v>0.006</v>
      </c>
      <c r="G644" s="23">
        <v>203.494183054999</v>
      </c>
      <c r="H644" s="24">
        <f t="shared" si="84"/>
        <v>0.5724</v>
      </c>
      <c r="I644" s="25">
        <f t="shared" si="85"/>
        <v>0.25</v>
      </c>
      <c r="J644" s="24">
        <f t="shared" si="86"/>
        <v>0.3459033002</v>
      </c>
      <c r="K644" s="24">
        <f t="shared" si="87"/>
        <v>0.5269371135</v>
      </c>
      <c r="L644" s="24">
        <f t="shared" si="5"/>
        <v>1.07672264</v>
      </c>
    </row>
    <row r="645">
      <c r="A645" s="20" t="s">
        <v>19</v>
      </c>
      <c r="B645" s="7" t="s">
        <v>54</v>
      </c>
      <c r="C645" s="7">
        <v>17.0</v>
      </c>
      <c r="D645" s="21">
        <v>0.98</v>
      </c>
      <c r="E645" s="7">
        <v>3.14</v>
      </c>
      <c r="F645" s="7">
        <v>0.007</v>
      </c>
      <c r="G645" s="23">
        <v>213.343775433999</v>
      </c>
      <c r="H645" s="24">
        <f t="shared" si="84"/>
        <v>0.6678</v>
      </c>
      <c r="I645" s="25">
        <f t="shared" si="85"/>
        <v>0.5</v>
      </c>
      <c r="J645" s="24">
        <f t="shared" si="86"/>
        <v>0.4132558018</v>
      </c>
      <c r="K645" s="24">
        <f t="shared" si="87"/>
        <v>0.4181870915</v>
      </c>
      <c r="L645" s="24">
        <f t="shared" si="5"/>
        <v>0.9421705345</v>
      </c>
    </row>
    <row r="646">
      <c r="A646" s="20" t="s">
        <v>19</v>
      </c>
      <c r="B646" s="7" t="s">
        <v>54</v>
      </c>
      <c r="C646" s="7">
        <v>18.0</v>
      </c>
      <c r="D646" s="21">
        <v>0.98</v>
      </c>
      <c r="E646" s="7">
        <v>3.8</v>
      </c>
      <c r="F646" s="7">
        <v>0.008</v>
      </c>
      <c r="G646" s="23">
        <v>256.677916243</v>
      </c>
      <c r="H646" s="24">
        <f t="shared" si="84"/>
        <v>0.7632</v>
      </c>
      <c r="I646" s="25">
        <f t="shared" si="85"/>
        <v>0.75</v>
      </c>
      <c r="J646" s="24">
        <f t="shared" si="86"/>
        <v>0.7095790076</v>
      </c>
      <c r="K646" s="24">
        <f t="shared" si="87"/>
        <v>0.2963162262</v>
      </c>
      <c r="L646" s="24">
        <f t="shared" si="5"/>
        <v>0.9769022901</v>
      </c>
    </row>
    <row r="647">
      <c r="A647" s="20" t="s">
        <v>19</v>
      </c>
      <c r="B647" s="7" t="s">
        <v>54</v>
      </c>
      <c r="C647" s="7">
        <v>19.0</v>
      </c>
      <c r="D647" s="21">
        <v>0.98</v>
      </c>
      <c r="E647" s="7">
        <v>3.29</v>
      </c>
      <c r="F647" s="7">
        <v>0.007</v>
      </c>
      <c r="G647" s="23">
        <v>222.253090529</v>
      </c>
      <c r="H647" s="24">
        <f t="shared" si="84"/>
        <v>0.6678</v>
      </c>
      <c r="I647" s="25">
        <f t="shared" si="85"/>
        <v>0.5</v>
      </c>
      <c r="J647" s="24">
        <f t="shared" si="86"/>
        <v>0.474178593</v>
      </c>
      <c r="K647" s="24">
        <f t="shared" si="87"/>
        <v>0.4009048403</v>
      </c>
      <c r="L647" s="24">
        <f t="shared" si="5"/>
        <v>0.9827857286</v>
      </c>
    </row>
    <row r="648">
      <c r="A648" s="20" t="s">
        <v>19</v>
      </c>
      <c r="B648" s="7" t="s">
        <v>54</v>
      </c>
      <c r="C648" s="7">
        <v>20.0</v>
      </c>
      <c r="D648" s="21">
        <v>0.98</v>
      </c>
      <c r="E648" s="7">
        <v>2.93</v>
      </c>
      <c r="F648" s="7">
        <v>0.006</v>
      </c>
      <c r="G648" s="23">
        <v>199.101539418999</v>
      </c>
      <c r="H648" s="24">
        <f t="shared" si="84"/>
        <v>0.5724</v>
      </c>
      <c r="I648" s="25">
        <f t="shared" si="85"/>
        <v>0.25</v>
      </c>
      <c r="J648" s="24">
        <f t="shared" si="86"/>
        <v>0.315865962</v>
      </c>
      <c r="K648" s="24">
        <f t="shared" si="87"/>
        <v>0.5389655333</v>
      </c>
      <c r="L648" s="24">
        <f t="shared" si="5"/>
        <v>1.05269277</v>
      </c>
    </row>
    <row r="649">
      <c r="A649" s="20" t="s">
        <v>19</v>
      </c>
      <c r="B649" s="7" t="s">
        <v>54</v>
      </c>
      <c r="C649" s="7">
        <v>21.0</v>
      </c>
      <c r="D649" s="21">
        <v>0.98</v>
      </c>
      <c r="E649" s="7">
        <v>2.8</v>
      </c>
      <c r="F649" s="7">
        <v>0.006</v>
      </c>
      <c r="G649" s="23">
        <v>190.281373914</v>
      </c>
      <c r="H649" s="24">
        <f t="shared" si="84"/>
        <v>0.5724</v>
      </c>
      <c r="I649" s="25">
        <f t="shared" si="85"/>
        <v>0.25</v>
      </c>
      <c r="J649" s="24">
        <f t="shared" si="86"/>
        <v>0.2555527846</v>
      </c>
      <c r="K649" s="24">
        <f t="shared" si="87"/>
        <v>0.5648559015</v>
      </c>
      <c r="L649" s="24">
        <f t="shared" si="5"/>
        <v>1.004442228</v>
      </c>
    </row>
    <row r="650">
      <c r="A650" s="20" t="s">
        <v>19</v>
      </c>
      <c r="B650" s="7" t="s">
        <v>54</v>
      </c>
      <c r="C650" s="7">
        <v>22.0</v>
      </c>
      <c r="D650" s="21">
        <v>0.98</v>
      </c>
      <c r="E650" s="7">
        <v>3.11</v>
      </c>
      <c r="F650" s="7">
        <v>0.007</v>
      </c>
      <c r="G650" s="23">
        <v>207.820883010999</v>
      </c>
      <c r="H650" s="24">
        <f t="shared" si="84"/>
        <v>0.6678</v>
      </c>
      <c r="I650" s="25">
        <f t="shared" si="85"/>
        <v>0.5</v>
      </c>
      <c r="J650" s="24">
        <f t="shared" si="86"/>
        <v>0.3754897089</v>
      </c>
      <c r="K650" s="24">
        <f t="shared" si="87"/>
        <v>0.4296690332</v>
      </c>
      <c r="L650" s="24">
        <f t="shared" si="5"/>
        <v>0.9169931393</v>
      </c>
    </row>
    <row r="651">
      <c r="A651" s="20" t="s">
        <v>19</v>
      </c>
      <c r="B651" s="7" t="s">
        <v>54</v>
      </c>
      <c r="C651" s="7">
        <v>23.0</v>
      </c>
      <c r="D651" s="21">
        <v>0.98</v>
      </c>
      <c r="E651" s="7">
        <v>3.62</v>
      </c>
      <c r="F651" s="7">
        <v>0.008</v>
      </c>
      <c r="G651" s="23">
        <v>243.702905063999</v>
      </c>
      <c r="H651" s="24">
        <f t="shared" si="84"/>
        <v>0.7632</v>
      </c>
      <c r="I651" s="25">
        <f t="shared" si="85"/>
        <v>0.75</v>
      </c>
      <c r="J651" s="24">
        <f t="shared" si="86"/>
        <v>0.6208545784</v>
      </c>
      <c r="K651" s="24">
        <f t="shared" si="87"/>
        <v>0.3125363662</v>
      </c>
      <c r="L651" s="24">
        <f t="shared" si="5"/>
        <v>0.9262026162</v>
      </c>
    </row>
    <row r="652">
      <c r="A652" s="20" t="s">
        <v>19</v>
      </c>
      <c r="B652" s="7" t="s">
        <v>54</v>
      </c>
      <c r="C652" s="7">
        <v>24.0</v>
      </c>
      <c r="D652" s="21">
        <v>0.98</v>
      </c>
      <c r="E652" s="7">
        <v>3.73</v>
      </c>
      <c r="F652" s="7">
        <v>0.008</v>
      </c>
      <c r="G652" s="23">
        <v>250.954131788</v>
      </c>
      <c r="H652" s="24">
        <f t="shared" si="84"/>
        <v>0.7632</v>
      </c>
      <c r="I652" s="25">
        <f t="shared" si="85"/>
        <v>0.75</v>
      </c>
      <c r="J652" s="24">
        <f t="shared" si="86"/>
        <v>0.6704391948</v>
      </c>
      <c r="K652" s="24">
        <f t="shared" si="87"/>
        <v>0.3032591678</v>
      </c>
      <c r="L652" s="24">
        <f t="shared" si="5"/>
        <v>0.9545366827</v>
      </c>
    </row>
    <row r="653">
      <c r="A653" s="20" t="s">
        <v>19</v>
      </c>
      <c r="B653" s="7" t="s">
        <v>54</v>
      </c>
      <c r="C653" s="7">
        <v>25.0</v>
      </c>
      <c r="D653" s="21">
        <v>0.98</v>
      </c>
      <c r="E653" s="7">
        <v>3.63</v>
      </c>
      <c r="F653" s="7">
        <v>0.008</v>
      </c>
      <c r="G653" s="23">
        <v>245.623237995999</v>
      </c>
      <c r="H653" s="24">
        <f t="shared" si="84"/>
        <v>0.7632</v>
      </c>
      <c r="I653" s="25">
        <f t="shared" si="85"/>
        <v>0.75</v>
      </c>
      <c r="J653" s="24">
        <f t="shared" si="86"/>
        <v>0.6339860078</v>
      </c>
      <c r="K653" s="24">
        <f t="shared" si="87"/>
        <v>0.3100246866</v>
      </c>
      <c r="L653" s="24">
        <f t="shared" si="5"/>
        <v>0.9337062902</v>
      </c>
    </row>
    <row r="654">
      <c r="A654" s="20" t="s">
        <v>19</v>
      </c>
      <c r="B654" s="7" t="s">
        <v>54</v>
      </c>
      <c r="C654" s="7">
        <v>26.0</v>
      </c>
      <c r="D654" s="21">
        <v>0.98</v>
      </c>
      <c r="E654" s="7">
        <v>3.32</v>
      </c>
      <c r="F654" s="7">
        <v>0.007</v>
      </c>
      <c r="G654" s="23">
        <v>222.242920588999</v>
      </c>
      <c r="H654" s="24">
        <f t="shared" si="84"/>
        <v>0.6678</v>
      </c>
      <c r="I654" s="25">
        <f t="shared" si="85"/>
        <v>0.5</v>
      </c>
      <c r="J654" s="24">
        <f t="shared" si="86"/>
        <v>0.4741090499</v>
      </c>
      <c r="K654" s="24">
        <f t="shared" si="87"/>
        <v>0.4009237535</v>
      </c>
      <c r="L654" s="24">
        <f t="shared" si="5"/>
        <v>0.9827393666</v>
      </c>
    </row>
    <row r="655">
      <c r="A655" s="20" t="s">
        <v>19</v>
      </c>
      <c r="B655" s="7" t="s">
        <v>54</v>
      </c>
      <c r="C655" s="7">
        <v>27.0</v>
      </c>
      <c r="D655" s="21">
        <v>0.98</v>
      </c>
      <c r="E655" s="7">
        <v>2.72</v>
      </c>
      <c r="F655" s="7">
        <v>0.006</v>
      </c>
      <c r="G655" s="23">
        <v>183.93915179</v>
      </c>
      <c r="H655" s="24">
        <f t="shared" si="84"/>
        <v>0.5724</v>
      </c>
      <c r="I655" s="25">
        <f t="shared" si="85"/>
        <v>0.25</v>
      </c>
      <c r="J655" s="24">
        <f t="shared" si="86"/>
        <v>0.212184033</v>
      </c>
      <c r="K655" s="24">
        <f t="shared" si="87"/>
        <v>0.5850649577</v>
      </c>
      <c r="L655" s="24">
        <f t="shared" si="5"/>
        <v>0.9697472264</v>
      </c>
    </row>
    <row r="656">
      <c r="A656" s="20" t="s">
        <v>19</v>
      </c>
      <c r="B656" s="7" t="s">
        <v>54</v>
      </c>
      <c r="C656" s="7">
        <v>28.0</v>
      </c>
      <c r="D656" s="21">
        <v>0.98</v>
      </c>
      <c r="E656" s="7">
        <v>2.89</v>
      </c>
      <c r="F656" s="7">
        <v>0.006</v>
      </c>
      <c r="G656" s="23">
        <v>197.388380401999</v>
      </c>
      <c r="H656" s="24">
        <f t="shared" si="84"/>
        <v>0.5724</v>
      </c>
      <c r="I656" s="25">
        <f t="shared" si="85"/>
        <v>0.25</v>
      </c>
      <c r="J656" s="24">
        <f t="shared" si="86"/>
        <v>0.3041512086</v>
      </c>
      <c r="K656" s="24">
        <f t="shared" si="87"/>
        <v>0.5438068802</v>
      </c>
      <c r="L656" s="24">
        <f t="shared" si="5"/>
        <v>1.043320967</v>
      </c>
    </row>
    <row r="657">
      <c r="A657" s="20" t="s">
        <v>19</v>
      </c>
      <c r="B657" s="7" t="s">
        <v>54</v>
      </c>
      <c r="C657" s="7">
        <v>29.0</v>
      </c>
      <c r="D657" s="21">
        <v>0.98</v>
      </c>
      <c r="E657" s="7">
        <v>3.28</v>
      </c>
      <c r="F657" s="7">
        <v>0.007</v>
      </c>
      <c r="G657" s="23">
        <v>220.011957878</v>
      </c>
      <c r="H657" s="24">
        <f t="shared" si="84"/>
        <v>0.6678</v>
      </c>
      <c r="I657" s="25">
        <f t="shared" si="85"/>
        <v>0.5</v>
      </c>
      <c r="J657" s="24">
        <f t="shared" si="86"/>
        <v>0.4588535029</v>
      </c>
      <c r="K657" s="24">
        <f t="shared" si="87"/>
        <v>0.4051163</v>
      </c>
      <c r="L657" s="24">
        <f t="shared" si="5"/>
        <v>0.9725690019</v>
      </c>
    </row>
    <row r="658">
      <c r="A658" s="20" t="s">
        <v>19</v>
      </c>
      <c r="B658" s="7" t="s">
        <v>54</v>
      </c>
      <c r="C658" s="7">
        <v>30.0</v>
      </c>
      <c r="D658" s="21">
        <v>0.98</v>
      </c>
      <c r="E658" s="7">
        <v>2.69</v>
      </c>
      <c r="F658" s="7">
        <v>0.006</v>
      </c>
      <c r="G658" s="23">
        <v>182.758222726</v>
      </c>
      <c r="H658" s="24">
        <f t="shared" si="84"/>
        <v>0.5724</v>
      </c>
      <c r="I658" s="25">
        <f t="shared" si="85"/>
        <v>0.25</v>
      </c>
      <c r="J658" s="24">
        <f t="shared" si="86"/>
        <v>0.2041087215</v>
      </c>
      <c r="K658" s="24">
        <f t="shared" si="87"/>
        <v>0.5889886747</v>
      </c>
      <c r="L658" s="24">
        <f t="shared" si="5"/>
        <v>0.9632869772</v>
      </c>
    </row>
    <row r="659">
      <c r="A659" s="20" t="s">
        <v>19</v>
      </c>
      <c r="B659" s="7" t="s">
        <v>54</v>
      </c>
      <c r="C659" s="7">
        <v>31.0</v>
      </c>
      <c r="D659" s="21">
        <v>0.98</v>
      </c>
      <c r="E659" s="7">
        <v>3.4</v>
      </c>
      <c r="F659" s="7">
        <v>0.007</v>
      </c>
      <c r="G659" s="23">
        <v>231.088945362999</v>
      </c>
      <c r="H659" s="24">
        <f t="shared" si="84"/>
        <v>0.6678</v>
      </c>
      <c r="I659" s="25">
        <f t="shared" si="85"/>
        <v>0.5</v>
      </c>
      <c r="J659" s="24">
        <f t="shared" si="86"/>
        <v>0.5345990555</v>
      </c>
      <c r="K659" s="24">
        <f t="shared" si="87"/>
        <v>0.3851203552</v>
      </c>
      <c r="L659" s="24">
        <f t="shared" si="5"/>
        <v>1.023066037</v>
      </c>
    </row>
    <row r="660">
      <c r="A660" s="20" t="s">
        <v>19</v>
      </c>
      <c r="B660" s="7" t="s">
        <v>54</v>
      </c>
      <c r="C660" s="7">
        <v>32.0</v>
      </c>
      <c r="D660" s="21">
        <v>0.98</v>
      </c>
      <c r="E660" s="7">
        <v>3.67</v>
      </c>
      <c r="F660" s="7">
        <v>0.008</v>
      </c>
      <c r="G660" s="23">
        <v>250.264374013</v>
      </c>
      <c r="H660" s="24">
        <f t="shared" si="84"/>
        <v>0.7632</v>
      </c>
      <c r="I660" s="25">
        <f t="shared" si="85"/>
        <v>0.75</v>
      </c>
      <c r="J660" s="24">
        <f t="shared" si="86"/>
        <v>0.6657225619</v>
      </c>
      <c r="K660" s="24">
        <f t="shared" si="87"/>
        <v>0.3041178715</v>
      </c>
      <c r="L660" s="24">
        <f t="shared" si="5"/>
        <v>0.9518414639</v>
      </c>
    </row>
    <row r="661">
      <c r="A661" s="20" t="s">
        <v>19</v>
      </c>
      <c r="B661" s="7" t="s">
        <v>54</v>
      </c>
      <c r="C661" s="7">
        <v>33.0</v>
      </c>
      <c r="D661" s="21">
        <v>0.98</v>
      </c>
      <c r="E661" s="7">
        <v>2.23</v>
      </c>
      <c r="F661" s="7">
        <v>0.005</v>
      </c>
      <c r="G661" s="23">
        <v>153.736001029999</v>
      </c>
      <c r="H661" s="24">
        <f t="shared" si="84"/>
        <v>0.477</v>
      </c>
      <c r="I661" s="25">
        <f t="shared" si="85"/>
        <v>0</v>
      </c>
      <c r="J661" s="24">
        <f t="shared" si="86"/>
        <v>0.005651855548</v>
      </c>
      <c r="K661" s="24">
        <f t="shared" si="87"/>
        <v>0.8815257438</v>
      </c>
      <c r="L661" s="24">
        <f t="shared" si="5"/>
        <v>1.005651856</v>
      </c>
    </row>
    <row r="662">
      <c r="A662" s="97" t="s">
        <v>19</v>
      </c>
      <c r="B662" s="98" t="s">
        <v>57</v>
      </c>
      <c r="C662" s="7">
        <v>1.0</v>
      </c>
      <c r="D662" s="21">
        <v>0.96</v>
      </c>
      <c r="E662" s="7">
        <v>2.91</v>
      </c>
      <c r="F662" s="7">
        <v>0.006</v>
      </c>
      <c r="G662" s="38">
        <v>188.695980774</v>
      </c>
      <c r="H662" s="24">
        <f t="shared" si="84"/>
        <v>0.5724</v>
      </c>
      <c r="I662" s="25">
        <f t="shared" ref="I662:I694" si="88">(H662-MIN($H$662:$H$694))/(MAX($H$662:$H$694)-MIN($H$662:$H$694))</f>
        <v>0.4</v>
      </c>
      <c r="J662" s="24">
        <f t="shared" ref="J662:J694" si="89">(G662-MIN($G$662:$G$694))/(MAX($G$662:$G$694)-MIN($G$662:$G$694))</f>
        <v>0.4370244857</v>
      </c>
      <c r="K662" s="24">
        <f t="shared" ref="K662:K694" si="90">0.96*(1/(1+I662))*(1/(1+J662))*(1-0)</f>
        <v>0.47717648</v>
      </c>
      <c r="L662" s="24">
        <f t="shared" si="5"/>
        <v>1.026446061</v>
      </c>
    </row>
    <row r="663">
      <c r="A663" s="20" t="s">
        <v>19</v>
      </c>
      <c r="B663" s="7" t="s">
        <v>57</v>
      </c>
      <c r="C663" s="7">
        <v>2.0</v>
      </c>
      <c r="D663" s="21">
        <v>0.96</v>
      </c>
      <c r="E663" s="7">
        <v>3.86</v>
      </c>
      <c r="F663" s="7">
        <v>0.008</v>
      </c>
      <c r="G663" s="38">
        <v>249.209918111</v>
      </c>
      <c r="H663" s="24">
        <f t="shared" si="84"/>
        <v>0.7632</v>
      </c>
      <c r="I663" s="25">
        <f t="shared" si="88"/>
        <v>0.8</v>
      </c>
      <c r="J663" s="24">
        <f t="shared" si="89"/>
        <v>0.8516664433</v>
      </c>
      <c r="K663" s="24">
        <f t="shared" si="90"/>
        <v>0.2880288376</v>
      </c>
      <c r="L663" s="24">
        <f t="shared" si="5"/>
        <v>1.02870358</v>
      </c>
    </row>
    <row r="664">
      <c r="A664" s="20" t="s">
        <v>19</v>
      </c>
      <c r="B664" s="7" t="s">
        <v>57</v>
      </c>
      <c r="C664" s="7">
        <v>3.0</v>
      </c>
      <c r="D664" s="21">
        <v>0.96</v>
      </c>
      <c r="E664" s="7">
        <v>3.49</v>
      </c>
      <c r="F664" s="7">
        <v>0.007</v>
      </c>
      <c r="G664" s="38">
        <v>224.839764144</v>
      </c>
      <c r="H664" s="24">
        <f t="shared" si="84"/>
        <v>0.6678</v>
      </c>
      <c r="I664" s="25">
        <f t="shared" si="88"/>
        <v>0.6</v>
      </c>
      <c r="J664" s="24">
        <f t="shared" si="89"/>
        <v>0.6846819635</v>
      </c>
      <c r="K664" s="24">
        <f t="shared" si="90"/>
        <v>0.3561503079</v>
      </c>
      <c r="L664" s="24">
        <f t="shared" si="5"/>
        <v>1.052926227</v>
      </c>
    </row>
    <row r="665">
      <c r="A665" s="20" t="s">
        <v>19</v>
      </c>
      <c r="B665" s="7" t="s">
        <v>57</v>
      </c>
      <c r="C665" s="7">
        <v>4.0</v>
      </c>
      <c r="D665" s="21">
        <v>0.96</v>
      </c>
      <c r="E665" s="7">
        <v>2.03</v>
      </c>
      <c r="F665" s="7">
        <v>0.004</v>
      </c>
      <c r="G665" s="38">
        <v>131.014804883999</v>
      </c>
      <c r="H665" s="24">
        <f t="shared" si="84"/>
        <v>0.3816</v>
      </c>
      <c r="I665" s="25">
        <f t="shared" si="88"/>
        <v>0</v>
      </c>
      <c r="J665" s="24">
        <f t="shared" si="89"/>
        <v>0.04179263098</v>
      </c>
      <c r="K665" s="24">
        <f t="shared" si="90"/>
        <v>0.9214885683</v>
      </c>
      <c r="L665" s="24">
        <f t="shared" si="5"/>
        <v>1.041792631</v>
      </c>
    </row>
    <row r="666">
      <c r="A666" s="20" t="s">
        <v>19</v>
      </c>
      <c r="B666" s="7" t="s">
        <v>57</v>
      </c>
      <c r="C666" s="7">
        <v>5.0</v>
      </c>
      <c r="D666" s="21">
        <v>0.96</v>
      </c>
      <c r="E666" s="7">
        <v>2.82</v>
      </c>
      <c r="F666" s="7">
        <v>0.006</v>
      </c>
      <c r="G666" s="38">
        <v>182.389283786</v>
      </c>
      <c r="H666" s="24">
        <f t="shared" si="84"/>
        <v>0.5724</v>
      </c>
      <c r="I666" s="25">
        <f t="shared" si="88"/>
        <v>0.4</v>
      </c>
      <c r="J666" s="24">
        <f t="shared" si="89"/>
        <v>0.3938109501</v>
      </c>
      <c r="K666" s="24">
        <f t="shared" si="90"/>
        <v>0.4919707982</v>
      </c>
      <c r="L666" s="24">
        <f t="shared" si="5"/>
        <v>0.9955792501</v>
      </c>
    </row>
    <row r="667">
      <c r="A667" s="20" t="s">
        <v>19</v>
      </c>
      <c r="B667" s="7" t="s">
        <v>57</v>
      </c>
      <c r="C667" s="7">
        <v>6.0</v>
      </c>
      <c r="D667" s="21">
        <v>0.96</v>
      </c>
      <c r="E667" s="7">
        <v>2.65</v>
      </c>
      <c r="F667" s="7">
        <v>0.006</v>
      </c>
      <c r="G667" s="38">
        <v>171.245990031</v>
      </c>
      <c r="H667" s="24">
        <f t="shared" si="84"/>
        <v>0.5724</v>
      </c>
      <c r="I667" s="25">
        <f t="shared" si="88"/>
        <v>0.4</v>
      </c>
      <c r="J667" s="24">
        <f t="shared" si="89"/>
        <v>0.3174570168</v>
      </c>
      <c r="K667" s="24">
        <f t="shared" si="90"/>
        <v>0.5204832317</v>
      </c>
      <c r="L667" s="24">
        <f t="shared" si="5"/>
        <v>0.9410407263</v>
      </c>
    </row>
    <row r="668">
      <c r="A668" s="20" t="s">
        <v>19</v>
      </c>
      <c r="B668" s="7" t="s">
        <v>57</v>
      </c>
      <c r="C668" s="7">
        <v>7.0</v>
      </c>
      <c r="D668" s="21">
        <v>0.96</v>
      </c>
      <c r="E668" s="7">
        <v>2.72</v>
      </c>
      <c r="F668" s="7">
        <v>0.006</v>
      </c>
      <c r="G668" s="38">
        <v>175.922195727</v>
      </c>
      <c r="H668" s="24">
        <f t="shared" si="84"/>
        <v>0.5724</v>
      </c>
      <c r="I668" s="25">
        <f t="shared" si="88"/>
        <v>0.4</v>
      </c>
      <c r="J668" s="24">
        <f t="shared" si="89"/>
        <v>0.3494984137</v>
      </c>
      <c r="K668" s="24">
        <f t="shared" si="90"/>
        <v>0.5081252996</v>
      </c>
      <c r="L668" s="24">
        <f t="shared" si="5"/>
        <v>0.9639274383</v>
      </c>
    </row>
    <row r="669">
      <c r="A669" s="20" t="s">
        <v>19</v>
      </c>
      <c r="B669" s="7" t="s">
        <v>57</v>
      </c>
      <c r="C669" s="7">
        <v>8.0</v>
      </c>
      <c r="D669" s="21">
        <v>0.96</v>
      </c>
      <c r="E669" s="7">
        <v>4.2</v>
      </c>
      <c r="F669" s="7">
        <v>0.009</v>
      </c>
      <c r="G669" s="38">
        <v>270.858107319999</v>
      </c>
      <c r="H669" s="24">
        <f t="shared" si="84"/>
        <v>0.8586</v>
      </c>
      <c r="I669" s="25">
        <f t="shared" si="88"/>
        <v>1</v>
      </c>
      <c r="J669" s="24">
        <f t="shared" si="89"/>
        <v>1</v>
      </c>
      <c r="K669" s="24">
        <f t="shared" si="90"/>
        <v>0.24</v>
      </c>
      <c r="L669" s="24">
        <f t="shared" si="5"/>
        <v>1</v>
      </c>
    </row>
    <row r="670">
      <c r="A670" s="20" t="s">
        <v>19</v>
      </c>
      <c r="B670" s="7" t="s">
        <v>57</v>
      </c>
      <c r="C670" s="7">
        <v>9.0</v>
      </c>
      <c r="D670" s="21">
        <v>0.96</v>
      </c>
      <c r="E670" s="7">
        <v>2.35</v>
      </c>
      <c r="F670" s="7">
        <v>0.005</v>
      </c>
      <c r="G670" s="38">
        <v>152.30032701</v>
      </c>
      <c r="H670" s="24">
        <f t="shared" si="84"/>
        <v>0.477</v>
      </c>
      <c r="I670" s="25">
        <f t="shared" si="88"/>
        <v>0.2</v>
      </c>
      <c r="J670" s="24">
        <f t="shared" si="89"/>
        <v>0.18764119</v>
      </c>
      <c r="K670" s="24">
        <f t="shared" si="90"/>
        <v>0.6736041211</v>
      </c>
      <c r="L670" s="24">
        <f t="shared" si="5"/>
        <v>0.9897009917</v>
      </c>
    </row>
    <row r="671">
      <c r="A671" s="20" t="s">
        <v>19</v>
      </c>
      <c r="B671" s="7" t="s">
        <v>57</v>
      </c>
      <c r="C671" s="7">
        <v>10.0</v>
      </c>
      <c r="D671" s="21">
        <v>0.96</v>
      </c>
      <c r="E671" s="7">
        <v>2.21</v>
      </c>
      <c r="F671" s="7">
        <v>0.005</v>
      </c>
      <c r="G671" s="38">
        <v>143.245779168999</v>
      </c>
      <c r="H671" s="24">
        <f t="shared" si="84"/>
        <v>0.477</v>
      </c>
      <c r="I671" s="25">
        <f t="shared" si="88"/>
        <v>0.2</v>
      </c>
      <c r="J671" s="24">
        <f t="shared" si="89"/>
        <v>0.1255993596</v>
      </c>
      <c r="K671" s="24">
        <f t="shared" si="90"/>
        <v>0.7107324584</v>
      </c>
      <c r="L671" s="24">
        <f t="shared" si="5"/>
        <v>0.9379994663</v>
      </c>
    </row>
    <row r="672">
      <c r="A672" s="20" t="s">
        <v>19</v>
      </c>
      <c r="B672" s="7" t="s">
        <v>57</v>
      </c>
      <c r="C672" s="7">
        <v>11.0</v>
      </c>
      <c r="D672" s="21">
        <v>0.96</v>
      </c>
      <c r="E672" s="7">
        <v>2.07</v>
      </c>
      <c r="F672" s="7">
        <v>0.004</v>
      </c>
      <c r="G672" s="38">
        <v>134.365189223</v>
      </c>
      <c r="H672" s="24">
        <f t="shared" si="84"/>
        <v>0.3816</v>
      </c>
      <c r="I672" s="25">
        <f t="shared" si="88"/>
        <v>0</v>
      </c>
      <c r="J672" s="24">
        <f t="shared" si="89"/>
        <v>0.06474948988</v>
      </c>
      <c r="K672" s="24">
        <f t="shared" si="90"/>
        <v>0.9016205306</v>
      </c>
      <c r="L672" s="24">
        <f t="shared" si="5"/>
        <v>1.06474949</v>
      </c>
    </row>
    <row r="673">
      <c r="A673" s="20" t="s">
        <v>19</v>
      </c>
      <c r="B673" s="7" t="s">
        <v>57</v>
      </c>
      <c r="C673" s="7">
        <v>12.0</v>
      </c>
      <c r="D673" s="21">
        <v>0.96</v>
      </c>
      <c r="E673" s="7">
        <v>1.93</v>
      </c>
      <c r="F673" s="7">
        <v>0.004</v>
      </c>
      <c r="G673" s="38">
        <v>124.915478452</v>
      </c>
      <c r="H673" s="24">
        <f t="shared" si="84"/>
        <v>0.3816</v>
      </c>
      <c r="I673" s="25">
        <f t="shared" si="88"/>
        <v>0</v>
      </c>
      <c r="J673" s="24">
        <f t="shared" si="89"/>
        <v>0</v>
      </c>
      <c r="K673" s="24">
        <f t="shared" si="90"/>
        <v>0.96</v>
      </c>
      <c r="L673" s="24">
        <f t="shared" si="5"/>
        <v>1</v>
      </c>
    </row>
    <row r="674">
      <c r="A674" s="20" t="s">
        <v>19</v>
      </c>
      <c r="B674" s="7" t="s">
        <v>57</v>
      </c>
      <c r="C674" s="7">
        <v>13.0</v>
      </c>
      <c r="D674" s="21">
        <v>0.96</v>
      </c>
      <c r="E674" s="7">
        <v>2.2</v>
      </c>
      <c r="F674" s="7">
        <v>0.005</v>
      </c>
      <c r="G674" s="38">
        <v>142.208186027</v>
      </c>
      <c r="H674" s="24">
        <f t="shared" si="84"/>
        <v>0.477</v>
      </c>
      <c r="I674" s="25">
        <f t="shared" si="88"/>
        <v>0.2</v>
      </c>
      <c r="J674" s="24">
        <f t="shared" si="89"/>
        <v>0.1184897635</v>
      </c>
      <c r="K674" s="24">
        <f t="shared" si="90"/>
        <v>0.7152501758</v>
      </c>
      <c r="L674" s="24">
        <f t="shared" si="5"/>
        <v>0.9320748029</v>
      </c>
    </row>
    <row r="675">
      <c r="A675" s="20" t="s">
        <v>19</v>
      </c>
      <c r="B675" s="7" t="s">
        <v>57</v>
      </c>
      <c r="C675" s="7">
        <v>14.0</v>
      </c>
      <c r="D675" s="21">
        <v>0.96</v>
      </c>
      <c r="E675" s="7">
        <v>3.07</v>
      </c>
      <c r="F675" s="7">
        <v>0.007</v>
      </c>
      <c r="G675" s="38">
        <v>198.482289991</v>
      </c>
      <c r="H675" s="24">
        <f t="shared" si="84"/>
        <v>0.6678</v>
      </c>
      <c r="I675" s="25">
        <f t="shared" si="88"/>
        <v>0.6</v>
      </c>
      <c r="J675" s="24">
        <f t="shared" si="89"/>
        <v>0.5040803507</v>
      </c>
      <c r="K675" s="24">
        <f t="shared" si="90"/>
        <v>0.3989148583</v>
      </c>
      <c r="L675" s="24">
        <f t="shared" si="5"/>
        <v>0.9400502192</v>
      </c>
    </row>
    <row r="676">
      <c r="A676" s="20" t="s">
        <v>19</v>
      </c>
      <c r="B676" s="7" t="s">
        <v>57</v>
      </c>
      <c r="C676" s="7">
        <v>15.0</v>
      </c>
      <c r="D676" s="21">
        <v>0.96</v>
      </c>
      <c r="E676" s="7">
        <v>3.17</v>
      </c>
      <c r="F676" s="7">
        <v>0.007</v>
      </c>
      <c r="G676" s="38">
        <v>204.522215559999</v>
      </c>
      <c r="H676" s="24">
        <f t="shared" si="84"/>
        <v>0.6678</v>
      </c>
      <c r="I676" s="25">
        <f t="shared" si="88"/>
        <v>0.6</v>
      </c>
      <c r="J676" s="24">
        <f t="shared" si="89"/>
        <v>0.5454659665</v>
      </c>
      <c r="K676" s="24">
        <f t="shared" si="90"/>
        <v>0.388232425</v>
      </c>
      <c r="L676" s="24">
        <f t="shared" si="5"/>
        <v>0.9659162291</v>
      </c>
    </row>
    <row r="677">
      <c r="A677" s="20" t="s">
        <v>19</v>
      </c>
      <c r="B677" s="7" t="s">
        <v>57</v>
      </c>
      <c r="C677" s="7">
        <v>16.0</v>
      </c>
      <c r="D677" s="21">
        <v>0.96</v>
      </c>
      <c r="E677" s="7">
        <v>3.35</v>
      </c>
      <c r="F677" s="7">
        <v>0.007</v>
      </c>
      <c r="G677" s="38">
        <v>216.365783177999</v>
      </c>
      <c r="H677" s="24">
        <f t="shared" si="84"/>
        <v>0.6678</v>
      </c>
      <c r="I677" s="25">
        <f t="shared" si="88"/>
        <v>0.6</v>
      </c>
      <c r="J677" s="24">
        <f t="shared" si="89"/>
        <v>0.6266181816</v>
      </c>
      <c r="K677" s="24">
        <f t="shared" si="90"/>
        <v>0.3688634535</v>
      </c>
      <c r="L677" s="24">
        <f t="shared" si="5"/>
        <v>1.016636364</v>
      </c>
    </row>
    <row r="678">
      <c r="A678" s="20" t="s">
        <v>19</v>
      </c>
      <c r="B678" s="7" t="s">
        <v>57</v>
      </c>
      <c r="C678" s="7">
        <v>17.0</v>
      </c>
      <c r="D678" s="21">
        <v>0.96</v>
      </c>
      <c r="E678" s="7">
        <v>2.73</v>
      </c>
      <c r="F678" s="7">
        <v>0.006</v>
      </c>
      <c r="G678" s="38">
        <v>176.704056068999</v>
      </c>
      <c r="H678" s="24">
        <f t="shared" si="84"/>
        <v>0.5724</v>
      </c>
      <c r="I678" s="25">
        <f t="shared" si="88"/>
        <v>0.4</v>
      </c>
      <c r="J678" s="24">
        <f t="shared" si="89"/>
        <v>0.3548557267</v>
      </c>
      <c r="K678" s="24">
        <f t="shared" si="90"/>
        <v>0.5061160921</v>
      </c>
      <c r="L678" s="24">
        <f t="shared" si="5"/>
        <v>0.9677540905</v>
      </c>
    </row>
    <row r="679">
      <c r="A679" s="20" t="s">
        <v>19</v>
      </c>
      <c r="B679" s="7" t="s">
        <v>57</v>
      </c>
      <c r="C679" s="7">
        <v>18.0</v>
      </c>
      <c r="D679" s="21">
        <v>0.96</v>
      </c>
      <c r="E679" s="7">
        <v>3.35</v>
      </c>
      <c r="F679" s="7">
        <v>0.007</v>
      </c>
      <c r="G679" s="38">
        <v>216.158273933</v>
      </c>
      <c r="H679" s="24">
        <f t="shared" si="84"/>
        <v>0.6678</v>
      </c>
      <c r="I679" s="25">
        <f t="shared" si="88"/>
        <v>0.6</v>
      </c>
      <c r="J679" s="24">
        <f t="shared" si="89"/>
        <v>0.6251963267</v>
      </c>
      <c r="K679" s="24">
        <f t="shared" si="90"/>
        <v>0.3691861655</v>
      </c>
      <c r="L679" s="24">
        <f t="shared" si="5"/>
        <v>1.015747704</v>
      </c>
    </row>
    <row r="680">
      <c r="A680" s="20" t="s">
        <v>19</v>
      </c>
      <c r="B680" s="7" t="s">
        <v>57</v>
      </c>
      <c r="C680" s="7">
        <v>19.0</v>
      </c>
      <c r="D680" s="21">
        <v>0.96</v>
      </c>
      <c r="E680" s="7">
        <v>3.02</v>
      </c>
      <c r="F680" s="7">
        <v>0.006</v>
      </c>
      <c r="G680" s="38">
        <v>195.123315994</v>
      </c>
      <c r="H680" s="24">
        <f t="shared" si="84"/>
        <v>0.5724</v>
      </c>
      <c r="I680" s="25">
        <f t="shared" si="88"/>
        <v>0.4</v>
      </c>
      <c r="J680" s="24">
        <f t="shared" si="89"/>
        <v>0.4810646354</v>
      </c>
      <c r="K680" s="24">
        <f t="shared" si="90"/>
        <v>0.4629874141</v>
      </c>
      <c r="L680" s="24">
        <f t="shared" si="5"/>
        <v>1.057903311</v>
      </c>
    </row>
    <row r="681">
      <c r="A681" s="20" t="s">
        <v>19</v>
      </c>
      <c r="B681" s="7" t="s">
        <v>57</v>
      </c>
      <c r="C681" s="7">
        <v>20.0</v>
      </c>
      <c r="D681" s="21">
        <v>0.96</v>
      </c>
      <c r="E681" s="7">
        <v>2.42</v>
      </c>
      <c r="F681" s="7">
        <v>0.005</v>
      </c>
      <c r="G681" s="38">
        <v>156.035135655999</v>
      </c>
      <c r="H681" s="24">
        <f t="shared" si="84"/>
        <v>0.477</v>
      </c>
      <c r="I681" s="25">
        <f t="shared" si="88"/>
        <v>0.2</v>
      </c>
      <c r="J681" s="24">
        <f t="shared" si="89"/>
        <v>0.2132321272</v>
      </c>
      <c r="K681" s="24">
        <f t="shared" si="90"/>
        <v>0.6593956606</v>
      </c>
      <c r="L681" s="24">
        <f t="shared" si="5"/>
        <v>1.011026773</v>
      </c>
    </row>
    <row r="682">
      <c r="A682" s="20" t="s">
        <v>19</v>
      </c>
      <c r="B682" s="7" t="s">
        <v>57</v>
      </c>
      <c r="C682" s="7">
        <v>21.0</v>
      </c>
      <c r="D682" s="21">
        <v>0.96</v>
      </c>
      <c r="E682" s="7">
        <v>2.83</v>
      </c>
      <c r="F682" s="7">
        <v>0.006</v>
      </c>
      <c r="G682" s="38">
        <v>182.795070438</v>
      </c>
      <c r="H682" s="24">
        <f t="shared" si="84"/>
        <v>0.5724</v>
      </c>
      <c r="I682" s="25">
        <f t="shared" si="88"/>
        <v>0.4</v>
      </c>
      <c r="J682" s="24">
        <f t="shared" si="89"/>
        <v>0.3965914033</v>
      </c>
      <c r="K682" s="24">
        <f t="shared" si="90"/>
        <v>0.4909913408</v>
      </c>
      <c r="L682" s="24">
        <f t="shared" si="5"/>
        <v>0.9975652881</v>
      </c>
    </row>
    <row r="683">
      <c r="A683" s="20" t="s">
        <v>19</v>
      </c>
      <c r="B683" s="7" t="s">
        <v>57</v>
      </c>
      <c r="C683" s="7">
        <v>22.0</v>
      </c>
      <c r="D683" s="21">
        <v>0.96</v>
      </c>
      <c r="E683" s="7">
        <v>3.22</v>
      </c>
      <c r="F683" s="7">
        <v>0.007</v>
      </c>
      <c r="G683" s="38">
        <v>208.098022041</v>
      </c>
      <c r="H683" s="24">
        <f t="shared" si="84"/>
        <v>0.6678</v>
      </c>
      <c r="I683" s="25">
        <f t="shared" si="88"/>
        <v>0.6</v>
      </c>
      <c r="J683" s="24">
        <f t="shared" si="89"/>
        <v>0.5699674196</v>
      </c>
      <c r="K683" s="24">
        <f t="shared" si="90"/>
        <v>0.3821735359</v>
      </c>
      <c r="L683" s="24">
        <f t="shared" si="5"/>
        <v>0.9812296373</v>
      </c>
    </row>
    <row r="684">
      <c r="A684" s="20" t="s">
        <v>19</v>
      </c>
      <c r="B684" s="7" t="s">
        <v>57</v>
      </c>
      <c r="C684" s="7">
        <v>23.0</v>
      </c>
      <c r="D684" s="21">
        <v>0.96</v>
      </c>
      <c r="E684" s="7">
        <v>3.89</v>
      </c>
      <c r="F684" s="7">
        <v>0.008</v>
      </c>
      <c r="G684" s="38">
        <v>251.054797941999</v>
      </c>
      <c r="H684" s="24">
        <f t="shared" si="84"/>
        <v>0.7632</v>
      </c>
      <c r="I684" s="25">
        <f t="shared" si="88"/>
        <v>0.8</v>
      </c>
      <c r="J684" s="24">
        <f t="shared" si="89"/>
        <v>0.8643075739</v>
      </c>
      <c r="K684" s="24">
        <f t="shared" si="90"/>
        <v>0.2860758283</v>
      </c>
      <c r="L684" s="24">
        <f t="shared" si="5"/>
        <v>1.03572643</v>
      </c>
    </row>
    <row r="685">
      <c r="A685" s="20" t="s">
        <v>19</v>
      </c>
      <c r="B685" s="7" t="s">
        <v>57</v>
      </c>
      <c r="C685" s="7">
        <v>24.0</v>
      </c>
      <c r="D685" s="21">
        <v>0.96</v>
      </c>
      <c r="E685" s="7">
        <v>4.01</v>
      </c>
      <c r="F685" s="7">
        <v>0.009</v>
      </c>
      <c r="G685" s="38">
        <v>258.479890851</v>
      </c>
      <c r="H685" s="24">
        <f t="shared" si="84"/>
        <v>0.8586</v>
      </c>
      <c r="I685" s="25">
        <f t="shared" si="88"/>
        <v>1</v>
      </c>
      <c r="J685" s="24">
        <f t="shared" si="89"/>
        <v>0.9151843669</v>
      </c>
      <c r="K685" s="24">
        <f t="shared" si="90"/>
        <v>0.2506286122</v>
      </c>
      <c r="L685" s="24">
        <f t="shared" si="5"/>
        <v>0.9575921834</v>
      </c>
    </row>
    <row r="686">
      <c r="A686" s="20" t="s">
        <v>19</v>
      </c>
      <c r="B686" s="7" t="s">
        <v>57</v>
      </c>
      <c r="C686" s="7">
        <v>25.0</v>
      </c>
      <c r="D686" s="21">
        <v>0.96</v>
      </c>
      <c r="E686" s="7">
        <v>3.59</v>
      </c>
      <c r="F686" s="7">
        <v>0.008</v>
      </c>
      <c r="G686" s="38">
        <v>231.605515817999</v>
      </c>
      <c r="H686" s="24">
        <f t="shared" si="84"/>
        <v>0.7632</v>
      </c>
      <c r="I686" s="25">
        <f t="shared" si="88"/>
        <v>0.8</v>
      </c>
      <c r="J686" s="24">
        <f t="shared" si="89"/>
        <v>0.7310409453</v>
      </c>
      <c r="K686" s="24">
        <f t="shared" si="90"/>
        <v>0.3080997794</v>
      </c>
      <c r="L686" s="24">
        <f t="shared" si="5"/>
        <v>0.9616894141</v>
      </c>
    </row>
    <row r="687">
      <c r="A687" s="20" t="s">
        <v>19</v>
      </c>
      <c r="B687" s="7" t="s">
        <v>57</v>
      </c>
      <c r="C687" s="7">
        <v>26.0</v>
      </c>
      <c r="D687" s="21">
        <v>0.96</v>
      </c>
      <c r="E687" s="7">
        <v>3.38</v>
      </c>
      <c r="F687" s="7">
        <v>0.007</v>
      </c>
      <c r="G687" s="38">
        <v>218.377596455</v>
      </c>
      <c r="H687" s="24">
        <f t="shared" si="84"/>
        <v>0.6678</v>
      </c>
      <c r="I687" s="25">
        <f t="shared" si="88"/>
        <v>0.6</v>
      </c>
      <c r="J687" s="24">
        <f t="shared" si="89"/>
        <v>0.6404031415</v>
      </c>
      <c r="K687" s="24">
        <f t="shared" si="90"/>
        <v>0.3657637472</v>
      </c>
      <c r="L687" s="24">
        <f t="shared" si="5"/>
        <v>1.025251963</v>
      </c>
    </row>
    <row r="688">
      <c r="A688" s="20" t="s">
        <v>19</v>
      </c>
      <c r="B688" s="7" t="s">
        <v>57</v>
      </c>
      <c r="C688" s="7">
        <v>27.0</v>
      </c>
      <c r="D688" s="21">
        <v>0.96</v>
      </c>
      <c r="E688" s="7">
        <v>2.62</v>
      </c>
      <c r="F688" s="7">
        <v>0.006</v>
      </c>
      <c r="G688" s="38">
        <v>169.267712406999</v>
      </c>
      <c r="H688" s="24">
        <f t="shared" si="84"/>
        <v>0.5724</v>
      </c>
      <c r="I688" s="25">
        <f t="shared" si="88"/>
        <v>0.4</v>
      </c>
      <c r="J688" s="24">
        <f t="shared" si="89"/>
        <v>0.3039018435</v>
      </c>
      <c r="K688" s="24">
        <f t="shared" si="90"/>
        <v>0.5258940994</v>
      </c>
      <c r="L688" s="24">
        <f t="shared" si="5"/>
        <v>0.9313584596</v>
      </c>
    </row>
    <row r="689">
      <c r="A689" s="20" t="s">
        <v>19</v>
      </c>
      <c r="B689" s="7" t="s">
        <v>57</v>
      </c>
      <c r="C689" s="7">
        <v>28.0</v>
      </c>
      <c r="D689" s="21">
        <v>0.96</v>
      </c>
      <c r="E689" s="7">
        <v>2.9</v>
      </c>
      <c r="F689" s="7">
        <v>0.006</v>
      </c>
      <c r="G689" s="38">
        <v>186.834109524999</v>
      </c>
      <c r="H689" s="24">
        <f t="shared" si="84"/>
        <v>0.5724</v>
      </c>
      <c r="I689" s="25">
        <f t="shared" si="88"/>
        <v>0.4</v>
      </c>
      <c r="J689" s="24">
        <f t="shared" si="89"/>
        <v>0.4242669298</v>
      </c>
      <c r="K689" s="24">
        <f t="shared" si="90"/>
        <v>0.4814506827</v>
      </c>
      <c r="L689" s="24">
        <f t="shared" si="5"/>
        <v>1.017333521</v>
      </c>
    </row>
    <row r="690">
      <c r="A690" s="20" t="s">
        <v>19</v>
      </c>
      <c r="B690" s="7" t="s">
        <v>57</v>
      </c>
      <c r="C690" s="7">
        <v>29.0</v>
      </c>
      <c r="D690" s="21">
        <v>0.96</v>
      </c>
      <c r="E690" s="7">
        <v>3.05</v>
      </c>
      <c r="F690" s="7">
        <v>0.006</v>
      </c>
      <c r="G690" s="38">
        <v>196.823625641</v>
      </c>
      <c r="H690" s="24">
        <f t="shared" si="84"/>
        <v>0.5724</v>
      </c>
      <c r="I690" s="25">
        <f t="shared" si="88"/>
        <v>0.4</v>
      </c>
      <c r="J690" s="24">
        <f t="shared" si="89"/>
        <v>0.49271517</v>
      </c>
      <c r="K690" s="24">
        <f t="shared" si="90"/>
        <v>0.4593738307</v>
      </c>
      <c r="L690" s="24">
        <f t="shared" si="5"/>
        <v>1.066225121</v>
      </c>
    </row>
    <row r="691">
      <c r="A691" s="20" t="s">
        <v>19</v>
      </c>
      <c r="B691" s="7" t="s">
        <v>57</v>
      </c>
      <c r="C691" s="7">
        <v>30.0</v>
      </c>
      <c r="D691" s="21">
        <v>0.96</v>
      </c>
      <c r="E691" s="7">
        <v>3.12</v>
      </c>
      <c r="F691" s="7">
        <v>0.007</v>
      </c>
      <c r="G691" s="38">
        <v>201.226893721</v>
      </c>
      <c r="H691" s="24">
        <f t="shared" si="84"/>
        <v>0.6678</v>
      </c>
      <c r="I691" s="25">
        <f t="shared" si="88"/>
        <v>0.6</v>
      </c>
      <c r="J691" s="24">
        <f t="shared" si="89"/>
        <v>0.5228863963</v>
      </c>
      <c r="K691" s="24">
        <f t="shared" si="90"/>
        <v>0.3939886793</v>
      </c>
      <c r="L691" s="24">
        <f t="shared" si="5"/>
        <v>0.9518039977</v>
      </c>
    </row>
    <row r="692">
      <c r="A692" s="20" t="s">
        <v>19</v>
      </c>
      <c r="B692" s="7" t="s">
        <v>57</v>
      </c>
      <c r="C692" s="7">
        <v>31.0</v>
      </c>
      <c r="D692" s="21">
        <v>0.96</v>
      </c>
      <c r="E692" s="7">
        <v>3.06</v>
      </c>
      <c r="F692" s="7">
        <v>0.007</v>
      </c>
      <c r="G692" s="38">
        <v>197.818772323999</v>
      </c>
      <c r="H692" s="24">
        <f t="shared" si="84"/>
        <v>0.6678</v>
      </c>
      <c r="I692" s="25">
        <f t="shared" si="88"/>
        <v>0.6</v>
      </c>
      <c r="J692" s="24">
        <f t="shared" si="89"/>
        <v>0.4995339226</v>
      </c>
      <c r="K692" s="24">
        <f t="shared" si="90"/>
        <v>0.4001243259</v>
      </c>
      <c r="L692" s="24">
        <f t="shared" si="5"/>
        <v>0.9372087016</v>
      </c>
    </row>
    <row r="693">
      <c r="A693" s="20" t="s">
        <v>19</v>
      </c>
      <c r="B693" s="7" t="s">
        <v>57</v>
      </c>
      <c r="C693" s="7">
        <v>32.0</v>
      </c>
      <c r="D693" s="21">
        <v>0.96</v>
      </c>
      <c r="E693" s="7">
        <v>2.41</v>
      </c>
      <c r="F693" s="7">
        <v>0.005</v>
      </c>
      <c r="G693" s="38">
        <v>155.956875685</v>
      </c>
      <c r="H693" s="24">
        <f t="shared" si="84"/>
        <v>0.477</v>
      </c>
      <c r="I693" s="25">
        <f t="shared" si="88"/>
        <v>0.2</v>
      </c>
      <c r="J693" s="24">
        <f t="shared" si="89"/>
        <v>0.2126958893</v>
      </c>
      <c r="K693" s="24">
        <f t="shared" si="90"/>
        <v>0.6596872366</v>
      </c>
      <c r="L693" s="24">
        <f t="shared" si="5"/>
        <v>1.010579908</v>
      </c>
    </row>
    <row r="694">
      <c r="A694" s="20" t="s">
        <v>19</v>
      </c>
      <c r="B694" s="7" t="s">
        <v>57</v>
      </c>
      <c r="C694" s="7">
        <v>33.0</v>
      </c>
      <c r="D694" s="21">
        <v>0.96</v>
      </c>
      <c r="E694" s="7">
        <v>2.71</v>
      </c>
      <c r="F694" s="7">
        <v>0.006</v>
      </c>
      <c r="G694" s="38">
        <v>175.142243178999</v>
      </c>
      <c r="H694" s="24">
        <f t="shared" si="84"/>
        <v>0.5724</v>
      </c>
      <c r="I694" s="25">
        <f t="shared" si="88"/>
        <v>0.4</v>
      </c>
      <c r="J694" s="24">
        <f t="shared" si="89"/>
        <v>0.3441541729</v>
      </c>
      <c r="K694" s="24">
        <f t="shared" si="90"/>
        <v>0.5101455618</v>
      </c>
      <c r="L694" s="24">
        <f t="shared" si="5"/>
        <v>0.9601101235</v>
      </c>
    </row>
    <row r="695">
      <c r="A695" s="99" t="s">
        <v>19</v>
      </c>
      <c r="B695" s="100" t="s">
        <v>58</v>
      </c>
      <c r="C695" s="7">
        <v>1.0</v>
      </c>
      <c r="D695" s="21">
        <v>0.98</v>
      </c>
      <c r="E695" s="7">
        <v>1.73</v>
      </c>
      <c r="F695" s="7">
        <v>0.004</v>
      </c>
      <c r="G695" s="38">
        <v>111.973188264999</v>
      </c>
      <c r="H695" s="24">
        <f t="shared" si="84"/>
        <v>0.3816</v>
      </c>
      <c r="I695" s="25">
        <f t="shared" ref="I695:I727" si="91">(H695-MIN($H$695:$H$727))/(MAX($H$695:$H$727)-MIN($H$695:$H$727))</f>
        <v>0.3333333333</v>
      </c>
      <c r="J695" s="24">
        <f t="shared" ref="J695:J727" si="92">(G695-MIN($G$695:$G$727))/(MAX($G$695:$G$727)-MIN($G$695:$G$727))</f>
        <v>0.2229434579</v>
      </c>
      <c r="K695" s="24">
        <f t="shared" ref="K695:K727" si="93">0.98*(1/(1+I695))*(1/(1+J695))*(1-0.0477)</f>
        <v>0.5723408515</v>
      </c>
      <c r="L695" s="24">
        <f t="shared" si="5"/>
        <v>0.9172075934</v>
      </c>
    </row>
    <row r="696">
      <c r="A696" s="20" t="s">
        <v>19</v>
      </c>
      <c r="B696" s="7" t="s">
        <v>58</v>
      </c>
      <c r="C696" s="7">
        <v>2.0</v>
      </c>
      <c r="D696" s="21">
        <v>0.98</v>
      </c>
      <c r="E696" s="7">
        <v>2.3</v>
      </c>
      <c r="F696" s="7">
        <v>0.005</v>
      </c>
      <c r="G696" s="38">
        <v>149.790451687999</v>
      </c>
      <c r="H696" s="24">
        <f t="shared" si="84"/>
        <v>0.477</v>
      </c>
      <c r="I696" s="25">
        <f t="shared" si="91"/>
        <v>0.6666666667</v>
      </c>
      <c r="J696" s="24">
        <f t="shared" si="92"/>
        <v>0.6479573507</v>
      </c>
      <c r="K696" s="24">
        <f t="shared" si="93"/>
        <v>0.3397857352</v>
      </c>
      <c r="L696" s="24">
        <f t="shared" si="5"/>
        <v>0.9887744104</v>
      </c>
    </row>
    <row r="697">
      <c r="A697" s="20" t="s">
        <v>19</v>
      </c>
      <c r="B697" s="7" t="s">
        <v>58</v>
      </c>
      <c r="C697" s="7">
        <v>3.0</v>
      </c>
      <c r="D697" s="21">
        <v>0.98</v>
      </c>
      <c r="E697" s="7">
        <v>1.91</v>
      </c>
      <c r="F697" s="7">
        <v>0.004</v>
      </c>
      <c r="G697" s="38">
        <v>124.644210759</v>
      </c>
      <c r="H697" s="24">
        <f t="shared" si="84"/>
        <v>0.3816</v>
      </c>
      <c r="I697" s="25">
        <f t="shared" si="91"/>
        <v>0.3333333333</v>
      </c>
      <c r="J697" s="24">
        <f t="shared" si="92"/>
        <v>0.3653482781</v>
      </c>
      <c r="K697" s="24">
        <f t="shared" si="93"/>
        <v>0.5126461221</v>
      </c>
      <c r="L697" s="24">
        <f t="shared" si="5"/>
        <v>1.024011209</v>
      </c>
    </row>
    <row r="698">
      <c r="A698" s="20" t="s">
        <v>19</v>
      </c>
      <c r="B698" s="7" t="s">
        <v>58</v>
      </c>
      <c r="C698" s="7">
        <v>4.0</v>
      </c>
      <c r="D698" s="21">
        <v>0.98</v>
      </c>
      <c r="E698" s="7">
        <v>1.51</v>
      </c>
      <c r="F698" s="7">
        <v>0.003</v>
      </c>
      <c r="G698" s="38">
        <v>98.746321645</v>
      </c>
      <c r="H698" s="24">
        <f t="shared" si="84"/>
        <v>0.2862</v>
      </c>
      <c r="I698" s="25">
        <f t="shared" si="91"/>
        <v>0</v>
      </c>
      <c r="J698" s="24">
        <f t="shared" si="92"/>
        <v>0.07429171628</v>
      </c>
      <c r="K698" s="24">
        <f t="shared" si="93"/>
        <v>0.8687156252</v>
      </c>
      <c r="L698" s="24">
        <f t="shared" si="5"/>
        <v>1.074291716</v>
      </c>
    </row>
    <row r="699">
      <c r="A699" s="20" t="s">
        <v>19</v>
      </c>
      <c r="B699" s="7" t="s">
        <v>58</v>
      </c>
      <c r="C699" s="7">
        <v>5.0</v>
      </c>
      <c r="D699" s="21">
        <v>0.98</v>
      </c>
      <c r="E699" s="7">
        <v>1.98</v>
      </c>
      <c r="F699" s="7">
        <v>0.004</v>
      </c>
      <c r="G699" s="38">
        <v>128.959983441</v>
      </c>
      <c r="H699" s="24">
        <f t="shared" si="84"/>
        <v>0.3816</v>
      </c>
      <c r="I699" s="25">
        <f t="shared" si="91"/>
        <v>0.3333333333</v>
      </c>
      <c r="J699" s="24">
        <f t="shared" si="92"/>
        <v>0.4138516118</v>
      </c>
      <c r="K699" s="24">
        <f t="shared" si="93"/>
        <v>0.4950593783</v>
      </c>
      <c r="L699" s="24">
        <f t="shared" si="5"/>
        <v>1.060388709</v>
      </c>
    </row>
    <row r="700">
      <c r="A700" s="20" t="s">
        <v>19</v>
      </c>
      <c r="B700" s="7" t="s">
        <v>58</v>
      </c>
      <c r="C700" s="7">
        <v>6.0</v>
      </c>
      <c r="D700" s="21">
        <v>0.98</v>
      </c>
      <c r="E700" s="7">
        <v>1.64</v>
      </c>
      <c r="F700" s="7">
        <v>0.003</v>
      </c>
      <c r="G700" s="38">
        <v>106.621192163999</v>
      </c>
      <c r="H700" s="24">
        <f t="shared" si="84"/>
        <v>0.2862</v>
      </c>
      <c r="I700" s="25">
        <f t="shared" si="91"/>
        <v>0</v>
      </c>
      <c r="J700" s="24">
        <f t="shared" si="92"/>
        <v>0.1627944019</v>
      </c>
      <c r="K700" s="24">
        <f t="shared" si="93"/>
        <v>0.8025958832</v>
      </c>
      <c r="L700" s="24">
        <f t="shared" si="5"/>
        <v>1.162794402</v>
      </c>
    </row>
    <row r="701">
      <c r="A701" s="20" t="s">
        <v>19</v>
      </c>
      <c r="B701" s="7" t="s">
        <v>58</v>
      </c>
      <c r="C701" s="7">
        <v>7.0</v>
      </c>
      <c r="D701" s="21">
        <v>0.98</v>
      </c>
      <c r="E701" s="7">
        <v>2.12</v>
      </c>
      <c r="F701" s="7">
        <v>0.005</v>
      </c>
      <c r="G701" s="38">
        <v>138.057103954</v>
      </c>
      <c r="H701" s="24">
        <f t="shared" si="84"/>
        <v>0.477</v>
      </c>
      <c r="I701" s="25">
        <f t="shared" si="91"/>
        <v>0.6666666667</v>
      </c>
      <c r="J701" s="24">
        <f t="shared" si="92"/>
        <v>0.5160907019</v>
      </c>
      <c r="K701" s="24">
        <f t="shared" si="93"/>
        <v>0.3693396439</v>
      </c>
      <c r="L701" s="24">
        <f t="shared" si="5"/>
        <v>0.9096544211</v>
      </c>
    </row>
    <row r="702">
      <c r="A702" s="20" t="s">
        <v>19</v>
      </c>
      <c r="B702" s="7" t="s">
        <v>58</v>
      </c>
      <c r="C702" s="7">
        <v>8.0</v>
      </c>
      <c r="D702" s="21">
        <v>0.98</v>
      </c>
      <c r="E702" s="7">
        <v>2.06</v>
      </c>
      <c r="F702" s="7">
        <v>0.004</v>
      </c>
      <c r="G702" s="38">
        <v>134.507887842999</v>
      </c>
      <c r="H702" s="24">
        <f t="shared" si="84"/>
        <v>0.3816</v>
      </c>
      <c r="I702" s="25">
        <f t="shared" si="91"/>
        <v>0.3333333333</v>
      </c>
      <c r="J702" s="24">
        <f t="shared" si="92"/>
        <v>0.476202407</v>
      </c>
      <c r="K702" s="24">
        <f t="shared" si="93"/>
        <v>0.4741494098</v>
      </c>
      <c r="L702" s="24">
        <f t="shared" si="5"/>
        <v>1.107151805</v>
      </c>
    </row>
    <row r="703">
      <c r="A703" s="20" t="s">
        <v>19</v>
      </c>
      <c r="B703" s="7" t="s">
        <v>58</v>
      </c>
      <c r="C703" s="7">
        <v>9.0</v>
      </c>
      <c r="D703" s="21">
        <v>0.98</v>
      </c>
      <c r="E703" s="7">
        <v>1.69</v>
      </c>
      <c r="F703" s="7">
        <v>0.004</v>
      </c>
      <c r="G703" s="38">
        <v>109.956533205</v>
      </c>
      <c r="H703" s="24">
        <f t="shared" si="84"/>
        <v>0.3816</v>
      </c>
      <c r="I703" s="25">
        <f t="shared" si="91"/>
        <v>0.3333333333</v>
      </c>
      <c r="J703" s="24">
        <f t="shared" si="92"/>
        <v>0.2002790359</v>
      </c>
      <c r="K703" s="24">
        <f t="shared" si="93"/>
        <v>0.5831481506</v>
      </c>
      <c r="L703" s="24">
        <f t="shared" si="5"/>
        <v>0.9002092769</v>
      </c>
    </row>
    <row r="704">
      <c r="A704" s="20" t="s">
        <v>19</v>
      </c>
      <c r="B704" s="7" t="s">
        <v>58</v>
      </c>
      <c r="C704" s="7">
        <v>10.0</v>
      </c>
      <c r="D704" s="21">
        <v>0.98</v>
      </c>
      <c r="E704" s="7">
        <v>1.73</v>
      </c>
      <c r="F704" s="7">
        <v>0.004</v>
      </c>
      <c r="G704" s="38">
        <v>112.943679442</v>
      </c>
      <c r="H704" s="24">
        <f t="shared" si="84"/>
        <v>0.3816</v>
      </c>
      <c r="I704" s="25">
        <f t="shared" si="91"/>
        <v>0.3333333333</v>
      </c>
      <c r="J704" s="24">
        <f t="shared" si="92"/>
        <v>0.2338504405</v>
      </c>
      <c r="K704" s="24">
        <f t="shared" si="93"/>
        <v>0.5672814768</v>
      </c>
      <c r="L704" s="24">
        <f t="shared" si="5"/>
        <v>0.9253878304</v>
      </c>
    </row>
    <row r="705">
      <c r="A705" s="20" t="s">
        <v>19</v>
      </c>
      <c r="B705" s="7" t="s">
        <v>58</v>
      </c>
      <c r="C705" s="7">
        <v>11.0</v>
      </c>
      <c r="D705" s="21">
        <v>0.98</v>
      </c>
      <c r="E705" s="7">
        <v>1.79</v>
      </c>
      <c r="F705" s="7">
        <v>0.004</v>
      </c>
      <c r="G705" s="38">
        <v>116.463390575999</v>
      </c>
      <c r="H705" s="24">
        <f t="shared" si="84"/>
        <v>0.3816</v>
      </c>
      <c r="I705" s="25">
        <f t="shared" si="91"/>
        <v>0.3333333333</v>
      </c>
      <c r="J705" s="24">
        <f t="shared" si="92"/>
        <v>0.2734071401</v>
      </c>
      <c r="K705" s="24">
        <f t="shared" si="93"/>
        <v>0.549659632</v>
      </c>
      <c r="L705" s="24">
        <f t="shared" si="5"/>
        <v>0.9550553551</v>
      </c>
    </row>
    <row r="706">
      <c r="A706" s="20" t="s">
        <v>19</v>
      </c>
      <c r="B706" s="7" t="s">
        <v>58</v>
      </c>
      <c r="C706" s="7">
        <v>12.0</v>
      </c>
      <c r="D706" s="21">
        <v>0.98</v>
      </c>
      <c r="E706" s="7">
        <v>1.41</v>
      </c>
      <c r="F706" s="7">
        <v>0.003</v>
      </c>
      <c r="G706" s="38">
        <v>92.135927368</v>
      </c>
      <c r="H706" s="24">
        <f t="shared" si="84"/>
        <v>0.2862</v>
      </c>
      <c r="I706" s="25">
        <f t="shared" si="91"/>
        <v>0</v>
      </c>
      <c r="J706" s="24">
        <f t="shared" si="92"/>
        <v>0</v>
      </c>
      <c r="K706" s="24">
        <f t="shared" si="93"/>
        <v>0.933254</v>
      </c>
      <c r="L706" s="24">
        <f t="shared" si="5"/>
        <v>1</v>
      </c>
    </row>
    <row r="707">
      <c r="A707" s="20" t="s">
        <v>19</v>
      </c>
      <c r="B707" s="7" t="s">
        <v>58</v>
      </c>
      <c r="C707" s="7">
        <v>13.0</v>
      </c>
      <c r="D707" s="21">
        <v>0.98</v>
      </c>
      <c r="E707" s="7">
        <v>1.65</v>
      </c>
      <c r="F707" s="7">
        <v>0.004</v>
      </c>
      <c r="G707" s="38">
        <v>107.660805067</v>
      </c>
      <c r="H707" s="24">
        <f t="shared" si="84"/>
        <v>0.3816</v>
      </c>
      <c r="I707" s="25">
        <f t="shared" si="91"/>
        <v>0.3333333333</v>
      </c>
      <c r="J707" s="24">
        <f t="shared" si="92"/>
        <v>0.1744782173</v>
      </c>
      <c r="K707" s="24">
        <f t="shared" si="93"/>
        <v>0.5959586901</v>
      </c>
      <c r="L707" s="24">
        <f t="shared" si="5"/>
        <v>0.880858663</v>
      </c>
    </row>
    <row r="708">
      <c r="A708" s="20" t="s">
        <v>19</v>
      </c>
      <c r="B708" s="7" t="s">
        <v>58</v>
      </c>
      <c r="C708" s="7">
        <v>14.0</v>
      </c>
      <c r="D708" s="21">
        <v>0.98</v>
      </c>
      <c r="E708" s="7">
        <v>2.25</v>
      </c>
      <c r="F708" s="7">
        <v>0.005</v>
      </c>
      <c r="G708" s="38">
        <v>146.143243348999</v>
      </c>
      <c r="H708" s="24">
        <f t="shared" si="84"/>
        <v>0.477</v>
      </c>
      <c r="I708" s="25">
        <f t="shared" si="91"/>
        <v>0.6666666667</v>
      </c>
      <c r="J708" s="24">
        <f t="shared" si="92"/>
        <v>0.6069677583</v>
      </c>
      <c r="K708" s="24">
        <f t="shared" si="93"/>
        <v>0.3484527907</v>
      </c>
      <c r="L708" s="24">
        <f t="shared" si="5"/>
        <v>0.964180655</v>
      </c>
    </row>
    <row r="709">
      <c r="A709" s="20" t="s">
        <v>19</v>
      </c>
      <c r="B709" s="7" t="s">
        <v>58</v>
      </c>
      <c r="C709" s="7">
        <v>15.0</v>
      </c>
      <c r="D709" s="21">
        <v>0.98</v>
      </c>
      <c r="E709" s="7">
        <v>2.2</v>
      </c>
      <c r="F709" s="7">
        <v>0.005</v>
      </c>
      <c r="G709" s="38">
        <v>143.057554872</v>
      </c>
      <c r="H709" s="24">
        <f t="shared" si="84"/>
        <v>0.477</v>
      </c>
      <c r="I709" s="25">
        <f t="shared" si="91"/>
        <v>0.6666666667</v>
      </c>
      <c r="J709" s="24">
        <f t="shared" si="92"/>
        <v>0.5722888748</v>
      </c>
      <c r="K709" s="24">
        <f t="shared" si="93"/>
        <v>0.3561383719</v>
      </c>
      <c r="L709" s="24">
        <f t="shared" si="5"/>
        <v>0.9433733249</v>
      </c>
    </row>
    <row r="710">
      <c r="A710" s="20" t="s">
        <v>19</v>
      </c>
      <c r="B710" s="7" t="s">
        <v>58</v>
      </c>
      <c r="C710" s="7">
        <v>16.0</v>
      </c>
      <c r="D710" s="21">
        <v>0.98</v>
      </c>
      <c r="E710" s="7">
        <v>2.14</v>
      </c>
      <c r="F710" s="7">
        <v>0.005</v>
      </c>
      <c r="G710" s="38">
        <v>139.167049261</v>
      </c>
      <c r="H710" s="24">
        <f t="shared" si="84"/>
        <v>0.477</v>
      </c>
      <c r="I710" s="25">
        <f t="shared" si="91"/>
        <v>0.6666666667</v>
      </c>
      <c r="J710" s="24">
        <f t="shared" si="92"/>
        <v>0.5285649566</v>
      </c>
      <c r="K710" s="24">
        <f t="shared" si="93"/>
        <v>0.366325551</v>
      </c>
      <c r="L710" s="24">
        <f t="shared" si="5"/>
        <v>0.9171389739</v>
      </c>
    </row>
    <row r="711">
      <c r="A711" s="20" t="s">
        <v>19</v>
      </c>
      <c r="B711" s="7" t="s">
        <v>58</v>
      </c>
      <c r="C711" s="7">
        <v>17.0</v>
      </c>
      <c r="D711" s="21">
        <v>0.98</v>
      </c>
      <c r="E711" s="7">
        <v>1.51</v>
      </c>
      <c r="F711" s="7">
        <v>0.003</v>
      </c>
      <c r="G711" s="38">
        <v>98.8324200229999</v>
      </c>
      <c r="H711" s="24">
        <f t="shared" si="84"/>
        <v>0.2862</v>
      </c>
      <c r="I711" s="25">
        <f t="shared" si="91"/>
        <v>0</v>
      </c>
      <c r="J711" s="24">
        <f t="shared" si="92"/>
        <v>0.07525934332</v>
      </c>
      <c r="K711" s="24">
        <f t="shared" si="93"/>
        <v>0.8679338671</v>
      </c>
      <c r="L711" s="24">
        <f t="shared" si="5"/>
        <v>1.075259343</v>
      </c>
    </row>
    <row r="712">
      <c r="A712" s="20" t="s">
        <v>19</v>
      </c>
      <c r="B712" s="7" t="s">
        <v>58</v>
      </c>
      <c r="C712" s="7">
        <v>18.0</v>
      </c>
      <c r="D712" s="21">
        <v>0.98</v>
      </c>
      <c r="E712" s="7">
        <v>2.48</v>
      </c>
      <c r="F712" s="7">
        <v>0.005</v>
      </c>
      <c r="G712" s="38">
        <v>161.429069875</v>
      </c>
      <c r="H712" s="24">
        <f t="shared" si="84"/>
        <v>0.477</v>
      </c>
      <c r="I712" s="25">
        <f t="shared" si="91"/>
        <v>0.6666666667</v>
      </c>
      <c r="J712" s="24">
        <f t="shared" si="92"/>
        <v>0.7787593701</v>
      </c>
      <c r="K712" s="24">
        <f t="shared" si="93"/>
        <v>0.3147994099</v>
      </c>
      <c r="L712" s="24">
        <f t="shared" si="5"/>
        <v>1.067255622</v>
      </c>
    </row>
    <row r="713">
      <c r="A713" s="20" t="s">
        <v>19</v>
      </c>
      <c r="B713" s="7" t="s">
        <v>58</v>
      </c>
      <c r="C713" s="7">
        <v>19.0</v>
      </c>
      <c r="D713" s="21">
        <v>0.98</v>
      </c>
      <c r="E713" s="7">
        <v>2.27</v>
      </c>
      <c r="F713" s="7">
        <v>0.005</v>
      </c>
      <c r="G713" s="38">
        <v>147.518334388</v>
      </c>
      <c r="H713" s="24">
        <f t="shared" si="84"/>
        <v>0.477</v>
      </c>
      <c r="I713" s="25">
        <f t="shared" si="91"/>
        <v>0.6666666667</v>
      </c>
      <c r="J713" s="24">
        <f t="shared" si="92"/>
        <v>0.6224218854</v>
      </c>
      <c r="K713" s="24">
        <f t="shared" si="93"/>
        <v>0.3451336579</v>
      </c>
      <c r="L713" s="24">
        <f t="shared" si="5"/>
        <v>0.9734531312</v>
      </c>
    </row>
    <row r="714">
      <c r="A714" s="20" t="s">
        <v>19</v>
      </c>
      <c r="B714" s="7" t="s">
        <v>58</v>
      </c>
      <c r="C714" s="7">
        <v>20.0</v>
      </c>
      <c r="D714" s="21">
        <v>0.98</v>
      </c>
      <c r="E714" s="7">
        <v>2.16</v>
      </c>
      <c r="F714" s="7">
        <v>0.005</v>
      </c>
      <c r="G714" s="38">
        <v>140.305105972</v>
      </c>
      <c r="H714" s="24">
        <f t="shared" si="84"/>
        <v>0.477</v>
      </c>
      <c r="I714" s="25">
        <f t="shared" si="91"/>
        <v>0.6666666667</v>
      </c>
      <c r="J714" s="24">
        <f t="shared" si="92"/>
        <v>0.5413551447</v>
      </c>
      <c r="K714" s="24">
        <f t="shared" si="93"/>
        <v>0.3632857761</v>
      </c>
      <c r="L714" s="24">
        <f t="shared" si="5"/>
        <v>0.9248130868</v>
      </c>
    </row>
    <row r="715">
      <c r="A715" s="20" t="s">
        <v>19</v>
      </c>
      <c r="B715" s="7" t="s">
        <v>58</v>
      </c>
      <c r="C715" s="7">
        <v>21.0</v>
      </c>
      <c r="D715" s="21">
        <v>0.98</v>
      </c>
      <c r="E715" s="7">
        <v>1.86</v>
      </c>
      <c r="F715" s="7">
        <v>0.004</v>
      </c>
      <c r="G715" s="38">
        <v>121.557177098</v>
      </c>
      <c r="H715" s="24">
        <f t="shared" si="84"/>
        <v>0.3816</v>
      </c>
      <c r="I715" s="25">
        <f t="shared" si="91"/>
        <v>0.3333333333</v>
      </c>
      <c r="J715" s="24">
        <f t="shared" si="92"/>
        <v>0.3306542766</v>
      </c>
      <c r="K715" s="24">
        <f t="shared" si="93"/>
        <v>0.5260122876</v>
      </c>
      <c r="L715" s="24">
        <f t="shared" si="5"/>
        <v>0.9979907074</v>
      </c>
    </row>
    <row r="716">
      <c r="A716" s="20" t="s">
        <v>19</v>
      </c>
      <c r="B716" s="7" t="s">
        <v>58</v>
      </c>
      <c r="C716" s="7">
        <v>22.0</v>
      </c>
      <c r="D716" s="21">
        <v>0.98</v>
      </c>
      <c r="E716" s="7">
        <v>1.99</v>
      </c>
      <c r="F716" s="7">
        <v>0.004</v>
      </c>
      <c r="G716" s="38">
        <v>129.81162429</v>
      </c>
      <c r="H716" s="24">
        <f t="shared" si="84"/>
        <v>0.3816</v>
      </c>
      <c r="I716" s="25">
        <f t="shared" si="91"/>
        <v>0.3333333333</v>
      </c>
      <c r="J716" s="24">
        <f t="shared" si="92"/>
        <v>0.4234228805</v>
      </c>
      <c r="K716" s="24">
        <f t="shared" si="93"/>
        <v>0.4917305388</v>
      </c>
      <c r="L716" s="24">
        <f t="shared" si="5"/>
        <v>1.06756716</v>
      </c>
    </row>
    <row r="717">
      <c r="A717" s="20" t="s">
        <v>19</v>
      </c>
      <c r="B717" s="7" t="s">
        <v>58</v>
      </c>
      <c r="C717" s="7">
        <v>23.0</v>
      </c>
      <c r="D717" s="21">
        <v>0.98</v>
      </c>
      <c r="E717" s="7">
        <v>2.42</v>
      </c>
      <c r="F717" s="7">
        <v>0.005</v>
      </c>
      <c r="G717" s="38">
        <v>157.687368007</v>
      </c>
      <c r="H717" s="24">
        <f t="shared" si="84"/>
        <v>0.477</v>
      </c>
      <c r="I717" s="25">
        <f t="shared" si="91"/>
        <v>0.6666666667</v>
      </c>
      <c r="J717" s="24">
        <f t="shared" si="92"/>
        <v>0.7367078007</v>
      </c>
      <c r="K717" s="24">
        <f t="shared" si="93"/>
        <v>0.3224217682</v>
      </c>
      <c r="L717" s="24">
        <f t="shared" si="5"/>
        <v>1.04202468</v>
      </c>
    </row>
    <row r="718">
      <c r="A718" s="20" t="s">
        <v>19</v>
      </c>
      <c r="B718" s="7" t="s">
        <v>58</v>
      </c>
      <c r="C718" s="7">
        <v>24.0</v>
      </c>
      <c r="D718" s="21">
        <v>0.98</v>
      </c>
      <c r="E718" s="7">
        <v>2.51</v>
      </c>
      <c r="F718" s="7">
        <v>0.005</v>
      </c>
      <c r="G718" s="38">
        <v>163.089581531999</v>
      </c>
      <c r="H718" s="24">
        <f t="shared" si="84"/>
        <v>0.477</v>
      </c>
      <c r="I718" s="25">
        <f t="shared" si="91"/>
        <v>0.6666666667</v>
      </c>
      <c r="J718" s="24">
        <f t="shared" si="92"/>
        <v>0.7974212313</v>
      </c>
      <c r="K718" s="24">
        <f t="shared" si="93"/>
        <v>0.3115309813</v>
      </c>
      <c r="L718" s="24">
        <f t="shared" si="5"/>
        <v>1.078452739</v>
      </c>
    </row>
    <row r="719">
      <c r="A719" s="20" t="s">
        <v>19</v>
      </c>
      <c r="B719" s="7" t="s">
        <v>58</v>
      </c>
      <c r="C719" s="7">
        <v>25.0</v>
      </c>
      <c r="D719" s="21">
        <v>0.98</v>
      </c>
      <c r="E719" s="7">
        <v>2.78</v>
      </c>
      <c r="F719" s="7">
        <v>0.006</v>
      </c>
      <c r="G719" s="38">
        <v>181.114815032</v>
      </c>
      <c r="H719" s="24">
        <f t="shared" si="84"/>
        <v>0.5724</v>
      </c>
      <c r="I719" s="25">
        <f t="shared" si="91"/>
        <v>1</v>
      </c>
      <c r="J719" s="24">
        <f t="shared" si="92"/>
        <v>1</v>
      </c>
      <c r="K719" s="24">
        <f t="shared" si="93"/>
        <v>0.2333135</v>
      </c>
      <c r="L719" s="24">
        <f t="shared" si="5"/>
        <v>1</v>
      </c>
    </row>
    <row r="720">
      <c r="A720" s="20" t="s">
        <v>19</v>
      </c>
      <c r="B720" s="7" t="s">
        <v>58</v>
      </c>
      <c r="C720" s="7">
        <v>26.0</v>
      </c>
      <c r="D720" s="21">
        <v>0.98</v>
      </c>
      <c r="E720" s="7">
        <v>2.26</v>
      </c>
      <c r="F720" s="7">
        <v>0.005</v>
      </c>
      <c r="G720" s="38">
        <v>147.112476039999</v>
      </c>
      <c r="H720" s="24">
        <f t="shared" si="84"/>
        <v>0.477</v>
      </c>
      <c r="I720" s="25">
        <f t="shared" si="91"/>
        <v>0.6666666667</v>
      </c>
      <c r="J720" s="24">
        <f t="shared" si="92"/>
        <v>0.6178605972</v>
      </c>
      <c r="K720" s="24">
        <f t="shared" si="93"/>
        <v>0.3461067047</v>
      </c>
      <c r="L720" s="24">
        <f t="shared" si="5"/>
        <v>0.9707163583</v>
      </c>
    </row>
    <row r="721">
      <c r="A721" s="20" t="s">
        <v>19</v>
      </c>
      <c r="B721" s="7" t="s">
        <v>58</v>
      </c>
      <c r="C721" s="7">
        <v>27.0</v>
      </c>
      <c r="D721" s="21">
        <v>0.98</v>
      </c>
      <c r="E721" s="7">
        <v>1.74</v>
      </c>
      <c r="F721" s="7">
        <v>0.004</v>
      </c>
      <c r="G721" s="38">
        <v>113.646490399999</v>
      </c>
      <c r="H721" s="24">
        <f t="shared" si="84"/>
        <v>0.3816</v>
      </c>
      <c r="I721" s="25">
        <f t="shared" si="91"/>
        <v>0.3333333333</v>
      </c>
      <c r="J721" s="24">
        <f t="shared" si="92"/>
        <v>0.2417490665</v>
      </c>
      <c r="K721" s="24">
        <f t="shared" si="93"/>
        <v>0.5636730632</v>
      </c>
      <c r="L721" s="24">
        <f t="shared" si="5"/>
        <v>0.9313117999</v>
      </c>
    </row>
    <row r="722">
      <c r="A722" s="20" t="s">
        <v>19</v>
      </c>
      <c r="B722" s="7" t="s">
        <v>58</v>
      </c>
      <c r="C722" s="7">
        <v>28.0</v>
      </c>
      <c r="D722" s="21">
        <v>0.98</v>
      </c>
      <c r="E722" s="7">
        <v>1.8</v>
      </c>
      <c r="F722" s="7">
        <v>0.004</v>
      </c>
      <c r="G722" s="38">
        <v>117.355688211</v>
      </c>
      <c r="H722" s="24">
        <f t="shared" si="84"/>
        <v>0.3816</v>
      </c>
      <c r="I722" s="25">
        <f t="shared" si="91"/>
        <v>0.3333333333</v>
      </c>
      <c r="J722" s="24">
        <f t="shared" si="92"/>
        <v>0.2834353351</v>
      </c>
      <c r="K722" s="24">
        <f t="shared" si="93"/>
        <v>0.5453648352</v>
      </c>
      <c r="L722" s="24">
        <f t="shared" si="5"/>
        <v>0.9625765013</v>
      </c>
    </row>
    <row r="723">
      <c r="A723" s="20" t="s">
        <v>19</v>
      </c>
      <c r="B723" s="7" t="s">
        <v>58</v>
      </c>
      <c r="C723" s="7">
        <v>29.0</v>
      </c>
      <c r="D723" s="21">
        <v>0.98</v>
      </c>
      <c r="E723" s="7">
        <v>2.38</v>
      </c>
      <c r="F723" s="7">
        <v>0.005</v>
      </c>
      <c r="G723" s="38">
        <v>154.944082318</v>
      </c>
      <c r="H723" s="24">
        <f t="shared" si="84"/>
        <v>0.477</v>
      </c>
      <c r="I723" s="25">
        <f t="shared" si="91"/>
        <v>0.6666666667</v>
      </c>
      <c r="J723" s="24">
        <f t="shared" si="92"/>
        <v>0.7058770524</v>
      </c>
      <c r="K723" s="24">
        <f t="shared" si="93"/>
        <v>0.3282489786</v>
      </c>
      <c r="L723" s="24">
        <f t="shared" si="5"/>
        <v>1.023526231</v>
      </c>
    </row>
    <row r="724">
      <c r="A724" s="20" t="s">
        <v>19</v>
      </c>
      <c r="B724" s="7" t="s">
        <v>58</v>
      </c>
      <c r="C724" s="7">
        <v>30.0</v>
      </c>
      <c r="D724" s="21">
        <v>0.98</v>
      </c>
      <c r="E724" s="7">
        <v>1.95</v>
      </c>
      <c r="F724" s="7">
        <v>0.004</v>
      </c>
      <c r="G724" s="38">
        <v>127.437397319999</v>
      </c>
      <c r="H724" s="24">
        <f t="shared" si="84"/>
        <v>0.3816</v>
      </c>
      <c r="I724" s="25">
        <f t="shared" si="91"/>
        <v>0.3333333333</v>
      </c>
      <c r="J724" s="24">
        <f t="shared" si="92"/>
        <v>0.3967398433</v>
      </c>
      <c r="K724" s="24">
        <f t="shared" si="93"/>
        <v>0.5011244602</v>
      </c>
      <c r="L724" s="24">
        <f t="shared" si="5"/>
        <v>1.047554883</v>
      </c>
    </row>
    <row r="725">
      <c r="A725" s="20" t="s">
        <v>19</v>
      </c>
      <c r="B725" s="7" t="s">
        <v>58</v>
      </c>
      <c r="C725" s="7">
        <v>31.0</v>
      </c>
      <c r="D725" s="21">
        <v>0.98</v>
      </c>
      <c r="E725" s="7">
        <v>2.35</v>
      </c>
      <c r="F725" s="7">
        <v>0.005</v>
      </c>
      <c r="G725" s="38">
        <v>152.994144192</v>
      </c>
      <c r="H725" s="24">
        <f t="shared" si="84"/>
        <v>0.477</v>
      </c>
      <c r="I725" s="25">
        <f t="shared" si="91"/>
        <v>0.6666666667</v>
      </c>
      <c r="J725" s="24">
        <f t="shared" si="92"/>
        <v>0.6839624367</v>
      </c>
      <c r="K725" s="24">
        <f t="shared" si="93"/>
        <v>0.3325207189</v>
      </c>
      <c r="L725" s="24">
        <f t="shared" si="5"/>
        <v>1.010377462</v>
      </c>
    </row>
    <row r="726">
      <c r="A726" s="20" t="s">
        <v>19</v>
      </c>
      <c r="B726" s="7" t="s">
        <v>58</v>
      </c>
      <c r="C726" s="7">
        <v>32.0</v>
      </c>
      <c r="D726" s="21">
        <v>0.98</v>
      </c>
      <c r="E726" s="7">
        <v>2.28</v>
      </c>
      <c r="F726" s="7">
        <v>0.005</v>
      </c>
      <c r="G726" s="38">
        <v>148.584169456</v>
      </c>
      <c r="H726" s="24">
        <f t="shared" si="84"/>
        <v>0.477</v>
      </c>
      <c r="I726" s="25">
        <f t="shared" si="91"/>
        <v>0.6666666667</v>
      </c>
      <c r="J726" s="24">
        <f t="shared" si="92"/>
        <v>0.6344004018</v>
      </c>
      <c r="K726" s="24">
        <f t="shared" si="93"/>
        <v>0.3426041742</v>
      </c>
      <c r="L726" s="24">
        <f t="shared" si="5"/>
        <v>0.9806402411</v>
      </c>
    </row>
    <row r="727">
      <c r="A727" s="20" t="s">
        <v>19</v>
      </c>
      <c r="B727" s="7" t="s">
        <v>58</v>
      </c>
      <c r="C727" s="7">
        <v>33.0</v>
      </c>
      <c r="D727" s="21">
        <v>0.98</v>
      </c>
      <c r="E727" s="7">
        <v>1.61</v>
      </c>
      <c r="F727" s="7">
        <v>0.003</v>
      </c>
      <c r="G727" s="38">
        <v>105.043636076</v>
      </c>
      <c r="H727" s="24">
        <f t="shared" si="84"/>
        <v>0.2862</v>
      </c>
      <c r="I727" s="25">
        <f t="shared" si="91"/>
        <v>0</v>
      </c>
      <c r="J727" s="24">
        <f t="shared" si="92"/>
        <v>0.1450648468</v>
      </c>
      <c r="K727" s="24">
        <f t="shared" si="93"/>
        <v>0.815022837</v>
      </c>
      <c r="L727" s="24">
        <f t="shared" si="5"/>
        <v>1.145064847</v>
      </c>
    </row>
    <row r="728">
      <c r="A728" s="101" t="s">
        <v>18</v>
      </c>
      <c r="B728" s="102" t="s">
        <v>57</v>
      </c>
      <c r="C728" s="7">
        <v>1.0</v>
      </c>
      <c r="D728" s="21">
        <v>0.91</v>
      </c>
      <c r="E728" s="7">
        <v>2.05</v>
      </c>
      <c r="F728" s="7">
        <v>0.004</v>
      </c>
      <c r="G728" s="38">
        <v>170.965815064</v>
      </c>
      <c r="H728" s="24">
        <f t="shared" si="84"/>
        <v>0.3816</v>
      </c>
      <c r="I728" s="25">
        <f t="shared" ref="I728:I760" si="94">(H728-MIN($H$728:$H$760))/(MAX($H$728:$H$760)-MIN($H$728:$H$760))</f>
        <v>0.2</v>
      </c>
      <c r="J728" s="24">
        <f t="shared" ref="J728:J760" si="95">(G728-MIN($G$728:$G$760))/(MAX($G$728:$G$760)-MIN($G$728:$G$760))</f>
        <v>0.3148974553</v>
      </c>
      <c r="K728" s="24">
        <f t="shared" ref="K728:K760" si="96">0.91*(1/(1+I728))*(1/(1+J728))*(1-0.0477)</f>
        <v>0.5492145645</v>
      </c>
      <c r="L728" s="24">
        <f t="shared" si="5"/>
        <v>1.095747879</v>
      </c>
    </row>
    <row r="729">
      <c r="A729" s="20" t="s">
        <v>18</v>
      </c>
      <c r="B729" s="7" t="s">
        <v>57</v>
      </c>
      <c r="C729" s="7">
        <v>2.0</v>
      </c>
      <c r="D729" s="21">
        <v>0.91</v>
      </c>
      <c r="E729" s="7">
        <v>2.57</v>
      </c>
      <c r="F729" s="7">
        <v>0.005</v>
      </c>
      <c r="G729" s="38">
        <v>205.329724716</v>
      </c>
      <c r="H729" s="24">
        <f t="shared" si="84"/>
        <v>0.477</v>
      </c>
      <c r="I729" s="25">
        <f t="shared" si="94"/>
        <v>0.4</v>
      </c>
      <c r="J729" s="24">
        <f t="shared" si="95"/>
        <v>0.4923263928</v>
      </c>
      <c r="K729" s="24">
        <f t="shared" si="96"/>
        <v>0.4147852661</v>
      </c>
      <c r="L729" s="24">
        <f t="shared" si="5"/>
        <v>1.065947423</v>
      </c>
    </row>
    <row r="730">
      <c r="A730" s="20" t="s">
        <v>18</v>
      </c>
      <c r="B730" s="7" t="s">
        <v>57</v>
      </c>
      <c r="C730" s="7">
        <v>3.0</v>
      </c>
      <c r="D730" s="21">
        <v>0.91</v>
      </c>
      <c r="E730" s="7">
        <v>1.37</v>
      </c>
      <c r="F730" s="7">
        <v>0.003</v>
      </c>
      <c r="G730" s="38">
        <v>109.977411136</v>
      </c>
      <c r="H730" s="24">
        <f t="shared" si="84"/>
        <v>0.2862</v>
      </c>
      <c r="I730" s="25">
        <f t="shared" si="94"/>
        <v>0</v>
      </c>
      <c r="J730" s="24">
        <f t="shared" si="95"/>
        <v>0</v>
      </c>
      <c r="K730" s="24">
        <f t="shared" si="96"/>
        <v>0.866593</v>
      </c>
      <c r="L730" s="24">
        <f t="shared" si="5"/>
        <v>1</v>
      </c>
    </row>
    <row r="731">
      <c r="A731" s="20" t="s">
        <v>18</v>
      </c>
      <c r="B731" s="7" t="s">
        <v>57</v>
      </c>
      <c r="C731" s="7">
        <v>4.0</v>
      </c>
      <c r="D731" s="21">
        <v>0.91</v>
      </c>
      <c r="E731" s="7">
        <v>3.1</v>
      </c>
      <c r="F731" s="7">
        <v>0.007</v>
      </c>
      <c r="G731" s="38">
        <v>247.004607951</v>
      </c>
      <c r="H731" s="24">
        <f t="shared" si="84"/>
        <v>0.6678</v>
      </c>
      <c r="I731" s="25">
        <f t="shared" si="94"/>
        <v>0.8</v>
      </c>
      <c r="J731" s="24">
        <f t="shared" si="95"/>
        <v>0.7075036041</v>
      </c>
      <c r="K731" s="24">
        <f t="shared" si="96"/>
        <v>0.2819558064</v>
      </c>
      <c r="L731" s="24">
        <f t="shared" si="5"/>
        <v>0.9486131134</v>
      </c>
    </row>
    <row r="732">
      <c r="A732" s="20" t="s">
        <v>18</v>
      </c>
      <c r="B732" s="7" t="s">
        <v>57</v>
      </c>
      <c r="C732" s="7">
        <v>5.0</v>
      </c>
      <c r="D732" s="21">
        <v>0.91</v>
      </c>
      <c r="E732" s="7">
        <v>2.43</v>
      </c>
      <c r="F732" s="7">
        <v>0.005</v>
      </c>
      <c r="G732" s="38">
        <v>192.866175411</v>
      </c>
      <c r="H732" s="24">
        <f t="shared" si="84"/>
        <v>0.477</v>
      </c>
      <c r="I732" s="25">
        <f t="shared" si="94"/>
        <v>0.4</v>
      </c>
      <c r="J732" s="24">
        <f t="shared" si="95"/>
        <v>0.4279741601</v>
      </c>
      <c r="K732" s="24">
        <f t="shared" si="96"/>
        <v>0.4334777318</v>
      </c>
      <c r="L732" s="24">
        <f t="shared" si="5"/>
        <v>1.019981543</v>
      </c>
    </row>
    <row r="733">
      <c r="A733" s="20" t="s">
        <v>18</v>
      </c>
      <c r="B733" s="7" t="s">
        <v>57</v>
      </c>
      <c r="C733" s="7">
        <v>6.0</v>
      </c>
      <c r="D733" s="21">
        <v>0.91</v>
      </c>
      <c r="E733" s="7">
        <v>2.66</v>
      </c>
      <c r="F733" s="7">
        <v>0.006</v>
      </c>
      <c r="G733" s="38">
        <v>213.829918627</v>
      </c>
      <c r="H733" s="24">
        <f t="shared" si="84"/>
        <v>0.5724</v>
      </c>
      <c r="I733" s="25">
        <f t="shared" si="94"/>
        <v>0.6</v>
      </c>
      <c r="J733" s="24">
        <f t="shared" si="95"/>
        <v>0.5362148906</v>
      </c>
      <c r="K733" s="24">
        <f t="shared" si="96"/>
        <v>0.3525682691</v>
      </c>
      <c r="L733" s="24">
        <f t="shared" si="5"/>
        <v>0.9601343066</v>
      </c>
    </row>
    <row r="734">
      <c r="A734" s="20" t="s">
        <v>18</v>
      </c>
      <c r="B734" s="7" t="s">
        <v>57</v>
      </c>
      <c r="C734" s="7">
        <v>7.0</v>
      </c>
      <c r="D734" s="21">
        <v>0.91</v>
      </c>
      <c r="E734" s="7">
        <v>3.03</v>
      </c>
      <c r="F734" s="7">
        <v>0.006</v>
      </c>
      <c r="G734" s="38">
        <v>239.688767114</v>
      </c>
      <c r="H734" s="24">
        <f t="shared" si="84"/>
        <v>0.5724</v>
      </c>
      <c r="I734" s="25">
        <f t="shared" si="94"/>
        <v>0.6</v>
      </c>
      <c r="J734" s="24">
        <f t="shared" si="95"/>
        <v>0.6697301994</v>
      </c>
      <c r="K734" s="24">
        <f t="shared" si="96"/>
        <v>0.3243761329</v>
      </c>
      <c r="L734" s="24">
        <f t="shared" si="5"/>
        <v>1.043581375</v>
      </c>
    </row>
    <row r="735">
      <c r="A735" s="20" t="s">
        <v>18</v>
      </c>
      <c r="B735" s="7" t="s">
        <v>57</v>
      </c>
      <c r="C735" s="7">
        <v>8.0</v>
      </c>
      <c r="D735" s="21">
        <v>0.91</v>
      </c>
      <c r="E735" s="7">
        <v>1.45</v>
      </c>
      <c r="F735" s="7">
        <v>0.003</v>
      </c>
      <c r="G735" s="38">
        <v>115.400599433</v>
      </c>
      <c r="H735" s="24">
        <f t="shared" si="84"/>
        <v>0.2862</v>
      </c>
      <c r="I735" s="25">
        <f t="shared" si="94"/>
        <v>0</v>
      </c>
      <c r="J735" s="24">
        <f t="shared" si="95"/>
        <v>0.02800119506</v>
      </c>
      <c r="K735" s="24">
        <f t="shared" si="96"/>
        <v>0.8429883196</v>
      </c>
      <c r="L735" s="24">
        <f t="shared" si="5"/>
        <v>1.028001195</v>
      </c>
    </row>
    <row r="736">
      <c r="A736" s="20" t="s">
        <v>18</v>
      </c>
      <c r="B736" s="7" t="s">
        <v>57</v>
      </c>
      <c r="C736" s="7">
        <v>9.0</v>
      </c>
      <c r="D736" s="21">
        <v>0.91</v>
      </c>
      <c r="E736" s="7">
        <v>2.65</v>
      </c>
      <c r="F736" s="7">
        <v>0.006</v>
      </c>
      <c r="G736" s="38">
        <v>210.419628655</v>
      </c>
      <c r="H736" s="24">
        <f t="shared" si="84"/>
        <v>0.5724</v>
      </c>
      <c r="I736" s="25">
        <f t="shared" si="94"/>
        <v>0.6</v>
      </c>
      <c r="J736" s="24">
        <f t="shared" si="95"/>
        <v>0.5186067624</v>
      </c>
      <c r="K736" s="24">
        <f t="shared" si="96"/>
        <v>0.356656271</v>
      </c>
      <c r="L736" s="24">
        <f t="shared" si="5"/>
        <v>0.9491292265</v>
      </c>
    </row>
    <row r="737">
      <c r="A737" s="20" t="s">
        <v>18</v>
      </c>
      <c r="B737" s="7" t="s">
        <v>57</v>
      </c>
      <c r="C737" s="7">
        <v>10.0</v>
      </c>
      <c r="D737" s="21">
        <v>0.91</v>
      </c>
      <c r="E737" s="7">
        <v>2.47</v>
      </c>
      <c r="F737" s="7">
        <v>0.005</v>
      </c>
      <c r="G737" s="38">
        <v>196.519824347</v>
      </c>
      <c r="H737" s="24">
        <f t="shared" si="84"/>
        <v>0.477</v>
      </c>
      <c r="I737" s="25">
        <f t="shared" si="94"/>
        <v>0.4</v>
      </c>
      <c r="J737" s="24">
        <f t="shared" si="95"/>
        <v>0.4468388078</v>
      </c>
      <c r="K737" s="24">
        <f t="shared" si="96"/>
        <v>0.4278258205</v>
      </c>
      <c r="L737" s="24">
        <f t="shared" si="5"/>
        <v>1.033456291</v>
      </c>
    </row>
    <row r="738">
      <c r="A738" s="20" t="s">
        <v>18</v>
      </c>
      <c r="B738" s="7" t="s">
        <v>57</v>
      </c>
      <c r="C738" s="7">
        <v>11.0</v>
      </c>
      <c r="D738" s="21">
        <v>0.91</v>
      </c>
      <c r="E738" s="7">
        <v>2.83</v>
      </c>
      <c r="F738" s="7">
        <v>0.006</v>
      </c>
      <c r="G738" s="38">
        <v>224.871707167</v>
      </c>
      <c r="H738" s="24">
        <f t="shared" si="84"/>
        <v>0.5724</v>
      </c>
      <c r="I738" s="25">
        <f t="shared" si="94"/>
        <v>0.6</v>
      </c>
      <c r="J738" s="24">
        <f t="shared" si="95"/>
        <v>0.5932262385</v>
      </c>
      <c r="K738" s="24">
        <f t="shared" si="96"/>
        <v>0.3399521122</v>
      </c>
      <c r="L738" s="24">
        <f t="shared" si="5"/>
        <v>0.995766399</v>
      </c>
    </row>
    <row r="739">
      <c r="A739" s="20" t="s">
        <v>18</v>
      </c>
      <c r="B739" s="7" t="s">
        <v>57</v>
      </c>
      <c r="C739" s="7">
        <v>12.0</v>
      </c>
      <c r="D739" s="21">
        <v>0.91</v>
      </c>
      <c r="E739" s="7">
        <v>2.12</v>
      </c>
      <c r="F739" s="7">
        <v>0.005</v>
      </c>
      <c r="G739" s="38">
        <v>168.529415222999</v>
      </c>
      <c r="H739" s="24">
        <f t="shared" si="84"/>
        <v>0.477</v>
      </c>
      <c r="I739" s="25">
        <f t="shared" si="94"/>
        <v>0.4</v>
      </c>
      <c r="J739" s="24">
        <f t="shared" si="95"/>
        <v>0.3023177507</v>
      </c>
      <c r="K739" s="24">
        <f t="shared" si="96"/>
        <v>0.4753025901</v>
      </c>
      <c r="L739" s="24">
        <f t="shared" si="5"/>
        <v>0.9302269648</v>
      </c>
    </row>
    <row r="740">
      <c r="A740" s="20" t="s">
        <v>18</v>
      </c>
      <c r="B740" s="7" t="s">
        <v>57</v>
      </c>
      <c r="C740" s="7">
        <v>13.0</v>
      </c>
      <c r="D740" s="21">
        <v>0.91</v>
      </c>
      <c r="E740" s="7">
        <v>2.27</v>
      </c>
      <c r="F740" s="7">
        <v>0.005</v>
      </c>
      <c r="G740" s="38">
        <v>179.987424627999</v>
      </c>
      <c r="H740" s="24">
        <f t="shared" si="84"/>
        <v>0.477</v>
      </c>
      <c r="I740" s="25">
        <f t="shared" si="94"/>
        <v>0.4</v>
      </c>
      <c r="J740" s="24">
        <f t="shared" si="95"/>
        <v>0.3614781446</v>
      </c>
      <c r="K740" s="24">
        <f t="shared" si="96"/>
        <v>0.4546492373</v>
      </c>
      <c r="L740" s="24">
        <f t="shared" si="5"/>
        <v>0.972484389</v>
      </c>
    </row>
    <row r="741">
      <c r="A741" s="20" t="s">
        <v>18</v>
      </c>
      <c r="B741" s="7" t="s">
        <v>57</v>
      </c>
      <c r="C741" s="7">
        <v>14.0</v>
      </c>
      <c r="D741" s="21">
        <v>0.91</v>
      </c>
      <c r="E741" s="7">
        <v>2.2</v>
      </c>
      <c r="F741" s="7">
        <v>0.005</v>
      </c>
      <c r="G741" s="38">
        <v>174.417724639999</v>
      </c>
      <c r="H741" s="24">
        <f t="shared" si="84"/>
        <v>0.477</v>
      </c>
      <c r="I741" s="25">
        <f t="shared" si="94"/>
        <v>0.4</v>
      </c>
      <c r="J741" s="24">
        <f t="shared" si="95"/>
        <v>0.3327204753</v>
      </c>
      <c r="K741" s="24">
        <f t="shared" si="96"/>
        <v>0.4644597359</v>
      </c>
      <c r="L741" s="24">
        <f t="shared" si="5"/>
        <v>0.9519431966</v>
      </c>
    </row>
    <row r="742">
      <c r="A742" s="20" t="s">
        <v>18</v>
      </c>
      <c r="B742" s="7" t="s">
        <v>57</v>
      </c>
      <c r="C742" s="7">
        <v>15.0</v>
      </c>
      <c r="D742" s="21">
        <v>0.91</v>
      </c>
      <c r="E742" s="7">
        <v>3.5</v>
      </c>
      <c r="F742" s="7">
        <v>0.007</v>
      </c>
      <c r="G742" s="38">
        <v>277.019222894</v>
      </c>
      <c r="H742" s="24">
        <f t="shared" si="84"/>
        <v>0.6678</v>
      </c>
      <c r="I742" s="25">
        <f t="shared" si="94"/>
        <v>0.8</v>
      </c>
      <c r="J742" s="24">
        <f t="shared" si="95"/>
        <v>0.8624761113</v>
      </c>
      <c r="K742" s="24">
        <f t="shared" si="96"/>
        <v>0.2584948889</v>
      </c>
      <c r="L742" s="24">
        <f t="shared" si="5"/>
        <v>1.034708951</v>
      </c>
    </row>
    <row r="743">
      <c r="A743" s="20" t="s">
        <v>18</v>
      </c>
      <c r="B743" s="7" t="s">
        <v>57</v>
      </c>
      <c r="C743" s="7">
        <v>16.0</v>
      </c>
      <c r="D743" s="21">
        <v>0.91</v>
      </c>
      <c r="E743" s="7">
        <v>3.19</v>
      </c>
      <c r="F743" s="7">
        <v>0.007</v>
      </c>
      <c r="G743" s="38">
        <v>251.259966342</v>
      </c>
      <c r="H743" s="24">
        <f t="shared" si="84"/>
        <v>0.6678</v>
      </c>
      <c r="I743" s="25">
        <f t="shared" si="94"/>
        <v>0.8</v>
      </c>
      <c r="J743" s="24">
        <f t="shared" si="95"/>
        <v>0.729475019</v>
      </c>
      <c r="K743" s="24">
        <f t="shared" si="96"/>
        <v>0.278373813</v>
      </c>
      <c r="L743" s="24">
        <f t="shared" si="5"/>
        <v>0.960819455</v>
      </c>
    </row>
    <row r="744">
      <c r="A744" s="20" t="s">
        <v>18</v>
      </c>
      <c r="B744" s="7" t="s">
        <v>57</v>
      </c>
      <c r="C744" s="7">
        <v>17.0</v>
      </c>
      <c r="D744" s="21">
        <v>0.91</v>
      </c>
      <c r="E744" s="7">
        <v>2.38</v>
      </c>
      <c r="F744" s="7">
        <v>0.005</v>
      </c>
      <c r="G744" s="38">
        <v>188.085936813</v>
      </c>
      <c r="H744" s="24">
        <f t="shared" si="84"/>
        <v>0.477</v>
      </c>
      <c r="I744" s="25">
        <f t="shared" si="94"/>
        <v>0.4</v>
      </c>
      <c r="J744" s="24">
        <f t="shared" si="95"/>
        <v>0.4032926653</v>
      </c>
      <c r="K744" s="24">
        <f t="shared" si="96"/>
        <v>0.4411018566</v>
      </c>
      <c r="L744" s="24">
        <f t="shared" si="5"/>
        <v>1.002351904</v>
      </c>
    </row>
    <row r="745">
      <c r="A745" s="20" t="s">
        <v>18</v>
      </c>
      <c r="B745" s="7" t="s">
        <v>57</v>
      </c>
      <c r="C745" s="7">
        <v>18.0</v>
      </c>
      <c r="D745" s="21">
        <v>0.91</v>
      </c>
      <c r="E745" s="7">
        <v>3.62</v>
      </c>
      <c r="F745" s="7">
        <v>0.008</v>
      </c>
      <c r="G745" s="38">
        <v>285.978280692999</v>
      </c>
      <c r="H745" s="24">
        <f t="shared" si="84"/>
        <v>0.7632</v>
      </c>
      <c r="I745" s="25">
        <f t="shared" si="94"/>
        <v>1</v>
      </c>
      <c r="J745" s="24">
        <f t="shared" si="95"/>
        <v>0.9087338312</v>
      </c>
      <c r="K745" s="24">
        <f t="shared" si="96"/>
        <v>0.227007293</v>
      </c>
      <c r="L745" s="24">
        <f t="shared" si="5"/>
        <v>0.9543669156</v>
      </c>
    </row>
    <row r="746">
      <c r="A746" s="20" t="s">
        <v>18</v>
      </c>
      <c r="B746" s="7" t="s">
        <v>57</v>
      </c>
      <c r="C746" s="7">
        <v>19.0</v>
      </c>
      <c r="D746" s="21">
        <v>0.91</v>
      </c>
      <c r="E746" s="7">
        <v>2.46</v>
      </c>
      <c r="F746" s="7">
        <v>0.005</v>
      </c>
      <c r="G746" s="38">
        <v>194.87980679</v>
      </c>
      <c r="H746" s="24">
        <f t="shared" si="84"/>
        <v>0.477</v>
      </c>
      <c r="I746" s="25">
        <f t="shared" si="94"/>
        <v>0.4</v>
      </c>
      <c r="J746" s="24">
        <f t="shared" si="95"/>
        <v>0.4383710119</v>
      </c>
      <c r="K746" s="24">
        <f t="shared" si="96"/>
        <v>0.4303444625</v>
      </c>
      <c r="L746" s="24">
        <f t="shared" si="5"/>
        <v>1.027407866</v>
      </c>
    </row>
    <row r="747">
      <c r="A747" s="20" t="s">
        <v>18</v>
      </c>
      <c r="B747" s="7" t="s">
        <v>57</v>
      </c>
      <c r="C747" s="7">
        <v>20.0</v>
      </c>
      <c r="D747" s="21">
        <v>0.91</v>
      </c>
      <c r="E747" s="7">
        <v>3.24</v>
      </c>
      <c r="F747" s="7">
        <v>0.007</v>
      </c>
      <c r="G747" s="38">
        <v>257.026045855</v>
      </c>
      <c r="H747" s="24">
        <f t="shared" si="84"/>
        <v>0.6678</v>
      </c>
      <c r="I747" s="25">
        <f t="shared" si="94"/>
        <v>0.8</v>
      </c>
      <c r="J747" s="24">
        <f t="shared" si="95"/>
        <v>0.759246642</v>
      </c>
      <c r="K747" s="24">
        <f t="shared" si="96"/>
        <v>0.2736629101</v>
      </c>
      <c r="L747" s="24">
        <f t="shared" si="5"/>
        <v>0.9773592456</v>
      </c>
    </row>
    <row r="748">
      <c r="A748" s="20" t="s">
        <v>18</v>
      </c>
      <c r="B748" s="7" t="s">
        <v>57</v>
      </c>
      <c r="C748" s="7">
        <v>21.0</v>
      </c>
      <c r="D748" s="21">
        <v>0.91</v>
      </c>
      <c r="E748" s="7">
        <v>2.21</v>
      </c>
      <c r="F748" s="7">
        <v>0.005</v>
      </c>
      <c r="G748" s="38">
        <v>175.049792822999</v>
      </c>
      <c r="H748" s="24">
        <f t="shared" si="84"/>
        <v>0.477</v>
      </c>
      <c r="I748" s="25">
        <f t="shared" si="94"/>
        <v>0.4</v>
      </c>
      <c r="J748" s="24">
        <f t="shared" si="95"/>
        <v>0.3359839918</v>
      </c>
      <c r="K748" s="24">
        <f t="shared" si="96"/>
        <v>0.4633251624</v>
      </c>
      <c r="L748" s="24">
        <f t="shared" si="5"/>
        <v>0.9542742799</v>
      </c>
    </row>
    <row r="749">
      <c r="A749" s="20" t="s">
        <v>18</v>
      </c>
      <c r="B749" s="7" t="s">
        <v>57</v>
      </c>
      <c r="C749" s="7">
        <v>22.0</v>
      </c>
      <c r="D749" s="21">
        <v>0.91</v>
      </c>
      <c r="E749" s="7">
        <v>2.69</v>
      </c>
      <c r="F749" s="7">
        <v>0.006</v>
      </c>
      <c r="G749" s="38">
        <v>212.245931631</v>
      </c>
      <c r="H749" s="24">
        <f t="shared" si="84"/>
        <v>0.5724</v>
      </c>
      <c r="I749" s="25">
        <f t="shared" si="94"/>
        <v>0.6</v>
      </c>
      <c r="J749" s="24">
        <f t="shared" si="95"/>
        <v>0.5280363936</v>
      </c>
      <c r="K749" s="24">
        <f t="shared" si="96"/>
        <v>0.3544553175</v>
      </c>
      <c r="L749" s="24">
        <f t="shared" si="5"/>
        <v>0.955022746</v>
      </c>
    </row>
    <row r="750">
      <c r="A750" s="20" t="s">
        <v>18</v>
      </c>
      <c r="B750" s="7" t="s">
        <v>57</v>
      </c>
      <c r="C750" s="7">
        <v>23.0</v>
      </c>
      <c r="D750" s="21">
        <v>0.91</v>
      </c>
      <c r="E750" s="7">
        <v>2.12</v>
      </c>
      <c r="F750" s="7">
        <v>0.005</v>
      </c>
      <c r="G750" s="38">
        <v>168.190892069</v>
      </c>
      <c r="H750" s="24">
        <f t="shared" si="84"/>
        <v>0.477</v>
      </c>
      <c r="I750" s="25">
        <f t="shared" si="94"/>
        <v>0.4</v>
      </c>
      <c r="J750" s="24">
        <f t="shared" si="95"/>
        <v>0.3005698761</v>
      </c>
      <c r="K750" s="24">
        <f t="shared" si="96"/>
        <v>0.4759413634</v>
      </c>
      <c r="L750" s="24">
        <f t="shared" si="5"/>
        <v>0.9289784829</v>
      </c>
    </row>
    <row r="751">
      <c r="A751" s="20" t="s">
        <v>18</v>
      </c>
      <c r="B751" s="7" t="s">
        <v>57</v>
      </c>
      <c r="C751" s="7">
        <v>24.0</v>
      </c>
      <c r="D751" s="21">
        <v>0.91</v>
      </c>
      <c r="E751" s="7">
        <v>2.15</v>
      </c>
      <c r="F751" s="7">
        <v>0.005</v>
      </c>
      <c r="G751" s="38">
        <v>169.337812154999</v>
      </c>
      <c r="H751" s="24">
        <f t="shared" si="84"/>
        <v>0.477</v>
      </c>
      <c r="I751" s="25">
        <f t="shared" si="94"/>
        <v>0.4</v>
      </c>
      <c r="J751" s="24">
        <f t="shared" si="95"/>
        <v>0.3064916939</v>
      </c>
      <c r="K751" s="24">
        <f t="shared" si="96"/>
        <v>0.4737841066</v>
      </c>
      <c r="L751" s="24">
        <f t="shared" si="5"/>
        <v>0.9332083528</v>
      </c>
    </row>
    <row r="752">
      <c r="A752" s="20" t="s">
        <v>18</v>
      </c>
      <c r="B752" s="7" t="s">
        <v>57</v>
      </c>
      <c r="C752" s="7">
        <v>25.0</v>
      </c>
      <c r="D752" s="21">
        <v>0.91</v>
      </c>
      <c r="E752" s="7">
        <v>2.67</v>
      </c>
      <c r="F752" s="7">
        <v>0.006</v>
      </c>
      <c r="G752" s="38">
        <v>210.768674707999</v>
      </c>
      <c r="H752" s="24">
        <f t="shared" si="84"/>
        <v>0.5724</v>
      </c>
      <c r="I752" s="25">
        <f t="shared" si="94"/>
        <v>0.6</v>
      </c>
      <c r="J752" s="24">
        <f t="shared" si="95"/>
        <v>0.5204089692</v>
      </c>
      <c r="K752" s="24">
        <f t="shared" si="96"/>
        <v>0.3562335108</v>
      </c>
      <c r="L752" s="24">
        <f t="shared" si="5"/>
        <v>0.9502556057</v>
      </c>
    </row>
    <row r="753">
      <c r="A753" s="20" t="s">
        <v>18</v>
      </c>
      <c r="B753" s="7" t="s">
        <v>57</v>
      </c>
      <c r="C753" s="7">
        <v>26.0</v>
      </c>
      <c r="D753" s="21">
        <v>0.91</v>
      </c>
      <c r="E753" s="7">
        <v>1.85</v>
      </c>
      <c r="F753" s="7">
        <v>0.004</v>
      </c>
      <c r="G753" s="38">
        <v>145.903552015</v>
      </c>
      <c r="H753" s="24">
        <f t="shared" si="84"/>
        <v>0.3816</v>
      </c>
      <c r="I753" s="25">
        <f t="shared" si="94"/>
        <v>0.2</v>
      </c>
      <c r="J753" s="24">
        <f t="shared" si="95"/>
        <v>0.1854951042</v>
      </c>
      <c r="K753" s="24">
        <f t="shared" si="96"/>
        <v>0.6091639103</v>
      </c>
      <c r="L753" s="24">
        <f t="shared" si="5"/>
        <v>0.9879125868</v>
      </c>
    </row>
    <row r="754">
      <c r="A754" s="20" t="s">
        <v>18</v>
      </c>
      <c r="B754" s="7" t="s">
        <v>57</v>
      </c>
      <c r="C754" s="7">
        <v>27.0</v>
      </c>
      <c r="D754" s="21">
        <v>0.91</v>
      </c>
      <c r="E754" s="7">
        <v>1.43</v>
      </c>
      <c r="F754" s="7">
        <v>0.003</v>
      </c>
      <c r="G754" s="38">
        <v>113.154768448</v>
      </c>
      <c r="H754" s="24">
        <f t="shared" si="84"/>
        <v>0.2862</v>
      </c>
      <c r="I754" s="25">
        <f t="shared" si="94"/>
        <v>0</v>
      </c>
      <c r="J754" s="24">
        <f t="shared" si="95"/>
        <v>0.01640544215</v>
      </c>
      <c r="K754" s="24">
        <f t="shared" si="96"/>
        <v>0.8526056277</v>
      </c>
      <c r="L754" s="24">
        <f t="shared" si="5"/>
        <v>1.016405442</v>
      </c>
    </row>
    <row r="755">
      <c r="A755" s="20" t="s">
        <v>18</v>
      </c>
      <c r="B755" s="7" t="s">
        <v>57</v>
      </c>
      <c r="C755" s="7">
        <v>28.0</v>
      </c>
      <c r="D755" s="21">
        <v>0.91</v>
      </c>
      <c r="E755" s="7">
        <v>3.17</v>
      </c>
      <c r="F755" s="7">
        <v>0.007</v>
      </c>
      <c r="G755" s="38">
        <v>250.641408692</v>
      </c>
      <c r="H755" s="24">
        <f t="shared" si="84"/>
        <v>0.6678</v>
      </c>
      <c r="I755" s="25">
        <f t="shared" si="94"/>
        <v>0.8</v>
      </c>
      <c r="J755" s="24">
        <f t="shared" si="95"/>
        <v>0.7262812606</v>
      </c>
      <c r="K755" s="24">
        <f t="shared" si="96"/>
        <v>0.2788888268</v>
      </c>
      <c r="L755" s="24">
        <f t="shared" si="5"/>
        <v>0.9590451448</v>
      </c>
    </row>
    <row r="756">
      <c r="A756" s="20" t="s">
        <v>18</v>
      </c>
      <c r="B756" s="7" t="s">
        <v>57</v>
      </c>
      <c r="C756" s="7">
        <v>29.0</v>
      </c>
      <c r="D756" s="21">
        <v>0.91</v>
      </c>
      <c r="E756" s="7">
        <v>2.31</v>
      </c>
      <c r="F756" s="7">
        <v>0.005</v>
      </c>
      <c r="G756" s="38">
        <v>181.448463447</v>
      </c>
      <c r="H756" s="24">
        <f t="shared" si="84"/>
        <v>0.477</v>
      </c>
      <c r="I756" s="25">
        <f t="shared" si="94"/>
        <v>0.4</v>
      </c>
      <c r="J756" s="24">
        <f t="shared" si="95"/>
        <v>0.3690218313</v>
      </c>
      <c r="K756" s="24">
        <f t="shared" si="96"/>
        <v>0.452143995</v>
      </c>
      <c r="L756" s="24">
        <f t="shared" si="5"/>
        <v>0.9778727366</v>
      </c>
    </row>
    <row r="757">
      <c r="A757" s="20" t="s">
        <v>18</v>
      </c>
      <c r="B757" s="7" t="s">
        <v>57</v>
      </c>
      <c r="C757" s="7">
        <v>30.0</v>
      </c>
      <c r="D757" s="21">
        <v>0.91</v>
      </c>
      <c r="E757" s="7">
        <v>2.68</v>
      </c>
      <c r="F757" s="7">
        <v>0.006</v>
      </c>
      <c r="G757" s="38">
        <v>211.612517014999</v>
      </c>
      <c r="H757" s="24">
        <f t="shared" si="84"/>
        <v>0.5724</v>
      </c>
      <c r="I757" s="25">
        <f t="shared" si="94"/>
        <v>0.6</v>
      </c>
      <c r="J757" s="24">
        <f t="shared" si="95"/>
        <v>0.5247659252</v>
      </c>
      <c r="K757" s="24">
        <f t="shared" si="96"/>
        <v>0.3552155882</v>
      </c>
      <c r="L757" s="24">
        <f t="shared" si="5"/>
        <v>0.9529787032</v>
      </c>
    </row>
    <row r="758">
      <c r="A758" s="20" t="s">
        <v>18</v>
      </c>
      <c r="B758" s="7" t="s">
        <v>57</v>
      </c>
      <c r="C758" s="7">
        <v>31.0</v>
      </c>
      <c r="D758" s="21">
        <v>0.91</v>
      </c>
      <c r="E758" s="7">
        <v>3.31</v>
      </c>
      <c r="F758" s="7">
        <v>0.007</v>
      </c>
      <c r="G758" s="38">
        <v>260.888691353</v>
      </c>
      <c r="H758" s="24">
        <f t="shared" si="84"/>
        <v>0.6678</v>
      </c>
      <c r="I758" s="25">
        <f t="shared" si="94"/>
        <v>0.8</v>
      </c>
      <c r="J758" s="24">
        <f t="shared" si="95"/>
        <v>0.779190388</v>
      </c>
      <c r="K758" s="24">
        <f t="shared" si="96"/>
        <v>0.2705952993</v>
      </c>
      <c r="L758" s="24">
        <f t="shared" si="5"/>
        <v>0.9884391045</v>
      </c>
    </row>
    <row r="759">
      <c r="A759" s="20" t="s">
        <v>18</v>
      </c>
      <c r="B759" s="7" t="s">
        <v>57</v>
      </c>
      <c r="C759" s="7">
        <v>32.0</v>
      </c>
      <c r="D759" s="21">
        <v>0.91</v>
      </c>
      <c r="E759" s="7">
        <v>3.84</v>
      </c>
      <c r="F759" s="7">
        <v>0.008</v>
      </c>
      <c r="G759" s="38">
        <v>303.654441214999</v>
      </c>
      <c r="H759" s="24">
        <f t="shared" si="84"/>
        <v>0.7632</v>
      </c>
      <c r="I759" s="25">
        <f t="shared" si="94"/>
        <v>1</v>
      </c>
      <c r="J759" s="24">
        <f t="shared" si="95"/>
        <v>1</v>
      </c>
      <c r="K759" s="24">
        <f t="shared" si="96"/>
        <v>0.21664825</v>
      </c>
      <c r="L759" s="24">
        <f t="shared" si="5"/>
        <v>1</v>
      </c>
    </row>
    <row r="760">
      <c r="A760" s="20" t="s">
        <v>18</v>
      </c>
      <c r="B760" s="7" t="s">
        <v>57</v>
      </c>
      <c r="C760" s="7">
        <v>33.0</v>
      </c>
      <c r="D760" s="21">
        <v>0.91</v>
      </c>
      <c r="E760" s="7">
        <v>2.2</v>
      </c>
      <c r="F760" s="7">
        <v>0.005</v>
      </c>
      <c r="G760" s="38">
        <v>174.346779986</v>
      </c>
      <c r="H760" s="24">
        <f t="shared" si="84"/>
        <v>0.477</v>
      </c>
      <c r="I760" s="25">
        <f t="shared" si="94"/>
        <v>0.4</v>
      </c>
      <c r="J760" s="24">
        <f t="shared" si="95"/>
        <v>0.3323541714</v>
      </c>
      <c r="K760" s="24">
        <f t="shared" si="96"/>
        <v>0.4645874297</v>
      </c>
      <c r="L760" s="24">
        <f t="shared" si="5"/>
        <v>0.951681551</v>
      </c>
    </row>
    <row r="761">
      <c r="A761" s="103" t="s">
        <v>18</v>
      </c>
      <c r="B761" s="104" t="s">
        <v>58</v>
      </c>
      <c r="C761" s="104">
        <v>1.0</v>
      </c>
      <c r="D761" s="21">
        <v>0.94</v>
      </c>
      <c r="E761" s="7">
        <v>0.5</v>
      </c>
      <c r="F761" s="7">
        <v>0.002</v>
      </c>
      <c r="G761" s="38">
        <v>55.560921438</v>
      </c>
      <c r="H761" s="24">
        <f t="shared" ref="H761:H793" si="97">F761*471/5</f>
        <v>0.1884</v>
      </c>
      <c r="I761" s="25">
        <f t="shared" ref="I761:I793" si="98">(H761-MIN($H$761:$H$793))/(MAX($H$761:$H$793)-MIN($H$761:$H$793))</f>
        <v>0.3333333333</v>
      </c>
      <c r="J761" s="24">
        <f t="shared" ref="J761:J793" si="99">(G761-MIN($G$761:$G$793))/(MAX($G$761:$G$793)-MIN($G$761:$G$793))</f>
        <v>0.1600582186</v>
      </c>
      <c r="K761" s="24">
        <f t="shared" ref="K761:K793" si="100">0.94*(1/(1+I761))*(1/(1+J761))*(1-0)</f>
        <v>0.6077281197</v>
      </c>
      <c r="L761" s="24">
        <f t="shared" si="5"/>
        <v>0.870043664</v>
      </c>
    </row>
    <row r="762">
      <c r="A762" s="20" t="s">
        <v>18</v>
      </c>
      <c r="B762" s="7" t="s">
        <v>58</v>
      </c>
      <c r="C762" s="7">
        <v>2.0</v>
      </c>
      <c r="D762" s="21">
        <v>0.94</v>
      </c>
      <c r="E762" s="7">
        <v>0.56</v>
      </c>
      <c r="F762" s="7">
        <v>0.002</v>
      </c>
      <c r="G762" s="38">
        <v>59.996209031</v>
      </c>
      <c r="H762" s="24">
        <f t="shared" si="97"/>
        <v>0.1884</v>
      </c>
      <c r="I762" s="25">
        <f t="shared" si="98"/>
        <v>0.3333333333</v>
      </c>
      <c r="J762" s="24">
        <f t="shared" si="99"/>
        <v>0.2135455465</v>
      </c>
      <c r="K762" s="24">
        <f t="shared" si="100"/>
        <v>0.5809423487</v>
      </c>
      <c r="L762" s="24">
        <f t="shared" si="5"/>
        <v>0.9101591599</v>
      </c>
    </row>
    <row r="763">
      <c r="A763" s="20" t="s">
        <v>18</v>
      </c>
      <c r="B763" s="7" t="s">
        <v>58</v>
      </c>
      <c r="C763" s="7">
        <v>3.0</v>
      </c>
      <c r="D763" s="21">
        <v>0.94</v>
      </c>
      <c r="E763" s="7">
        <v>0.52</v>
      </c>
      <c r="F763" s="7">
        <v>0.002</v>
      </c>
      <c r="G763" s="38">
        <v>55.0034694329999</v>
      </c>
      <c r="H763" s="24">
        <f t="shared" si="97"/>
        <v>0.1884</v>
      </c>
      <c r="I763" s="25">
        <f t="shared" si="98"/>
        <v>0.3333333333</v>
      </c>
      <c r="J763" s="24">
        <f t="shared" si="99"/>
        <v>0.153335629</v>
      </c>
      <c r="K763" s="24">
        <f t="shared" si="100"/>
        <v>0.6112704596</v>
      </c>
      <c r="L763" s="24">
        <f t="shared" si="5"/>
        <v>0.8650017218</v>
      </c>
    </row>
    <row r="764">
      <c r="A764" s="20" t="s">
        <v>18</v>
      </c>
      <c r="B764" s="7" t="s">
        <v>58</v>
      </c>
      <c r="C764" s="7">
        <v>4.0</v>
      </c>
      <c r="D764" s="21">
        <v>0.94</v>
      </c>
      <c r="E764" s="7">
        <v>0.44</v>
      </c>
      <c r="F764" s="7">
        <v>0.002</v>
      </c>
      <c r="G764" s="38">
        <v>47.64437701</v>
      </c>
      <c r="H764" s="24">
        <f t="shared" si="97"/>
        <v>0.1884</v>
      </c>
      <c r="I764" s="25">
        <f t="shared" si="98"/>
        <v>0.3333333333</v>
      </c>
      <c r="J764" s="24">
        <f t="shared" si="99"/>
        <v>0.06458869192</v>
      </c>
      <c r="K764" s="24">
        <f t="shared" si="100"/>
        <v>0.6622275864</v>
      </c>
      <c r="L764" s="24">
        <f t="shared" si="5"/>
        <v>0.7984415189</v>
      </c>
    </row>
    <row r="765">
      <c r="A765" s="20" t="s">
        <v>18</v>
      </c>
      <c r="B765" s="7" t="s">
        <v>58</v>
      </c>
      <c r="C765" s="7">
        <v>5.0</v>
      </c>
      <c r="D765" s="21">
        <v>0.94</v>
      </c>
      <c r="E765" s="7">
        <v>0.57</v>
      </c>
      <c r="F765" s="7">
        <v>0.002</v>
      </c>
      <c r="G765" s="38">
        <v>61.0629532729998</v>
      </c>
      <c r="H765" s="24">
        <f t="shared" si="97"/>
        <v>0.1884</v>
      </c>
      <c r="I765" s="25">
        <f t="shared" si="98"/>
        <v>0.3333333333</v>
      </c>
      <c r="J765" s="24">
        <f t="shared" si="99"/>
        <v>0.2264099432</v>
      </c>
      <c r="K765" s="24">
        <f t="shared" si="100"/>
        <v>0.5748485683</v>
      </c>
      <c r="L765" s="24">
        <f t="shared" si="5"/>
        <v>0.9198074574</v>
      </c>
    </row>
    <row r="766">
      <c r="A766" s="20" t="s">
        <v>18</v>
      </c>
      <c r="B766" s="7" t="s">
        <v>58</v>
      </c>
      <c r="C766" s="7">
        <v>6.0</v>
      </c>
      <c r="D766" s="21">
        <v>0.94</v>
      </c>
      <c r="E766" s="7">
        <v>0.39</v>
      </c>
      <c r="F766" s="7">
        <v>0.001</v>
      </c>
      <c r="G766" s="38">
        <v>42.2885397409998</v>
      </c>
      <c r="H766" s="24">
        <f t="shared" si="97"/>
        <v>0.0942</v>
      </c>
      <c r="I766" s="25">
        <f t="shared" si="98"/>
        <v>0</v>
      </c>
      <c r="J766" s="24">
        <f t="shared" si="99"/>
        <v>0</v>
      </c>
      <c r="K766" s="24">
        <f t="shared" si="100"/>
        <v>0.94</v>
      </c>
      <c r="L766" s="24">
        <f t="shared" si="5"/>
        <v>1</v>
      </c>
    </row>
    <row r="767">
      <c r="A767" s="20" t="s">
        <v>18</v>
      </c>
      <c r="B767" s="7" t="s">
        <v>58</v>
      </c>
      <c r="C767" s="7">
        <v>7.0</v>
      </c>
      <c r="D767" s="21">
        <v>0.94</v>
      </c>
      <c r="E767" s="7">
        <v>0.98</v>
      </c>
      <c r="F767" s="7">
        <v>0.003</v>
      </c>
      <c r="G767" s="38">
        <v>103.669508268</v>
      </c>
      <c r="H767" s="24">
        <f t="shared" si="97"/>
        <v>0.2826</v>
      </c>
      <c r="I767" s="25">
        <f t="shared" si="98"/>
        <v>0.6666666667</v>
      </c>
      <c r="J767" s="24">
        <f t="shared" si="99"/>
        <v>0.7402234734</v>
      </c>
      <c r="K767" s="24">
        <f t="shared" si="100"/>
        <v>0.3240963064</v>
      </c>
      <c r="L767" s="24">
        <f t="shared" si="5"/>
        <v>1.044134084</v>
      </c>
    </row>
    <row r="768">
      <c r="A768" s="20" t="s">
        <v>18</v>
      </c>
      <c r="B768" s="7" t="s">
        <v>58</v>
      </c>
      <c r="C768" s="7">
        <v>8.0</v>
      </c>
      <c r="D768" s="21">
        <v>0.94</v>
      </c>
      <c r="E768" s="7">
        <v>0.43</v>
      </c>
      <c r="F768" s="7">
        <v>0.002</v>
      </c>
      <c r="G768" s="38">
        <v>45.69128088</v>
      </c>
      <c r="H768" s="24">
        <f t="shared" si="97"/>
        <v>0.1884</v>
      </c>
      <c r="I768" s="25">
        <f t="shared" si="98"/>
        <v>0.3333333333</v>
      </c>
      <c r="J768" s="24">
        <f t="shared" si="99"/>
        <v>0.04103533922</v>
      </c>
      <c r="K768" s="24">
        <f t="shared" si="100"/>
        <v>0.6772104399</v>
      </c>
      <c r="L768" s="24">
        <f t="shared" si="5"/>
        <v>0.7807765044</v>
      </c>
    </row>
    <row r="769">
      <c r="A769" s="20" t="s">
        <v>18</v>
      </c>
      <c r="B769" s="7" t="s">
        <v>58</v>
      </c>
      <c r="C769" s="7">
        <v>9.0</v>
      </c>
      <c r="D769" s="21">
        <v>0.94</v>
      </c>
      <c r="E769" s="7">
        <v>0.46</v>
      </c>
      <c r="F769" s="7">
        <v>0.002</v>
      </c>
      <c r="G769" s="38">
        <v>48.6608782299999</v>
      </c>
      <c r="H769" s="24">
        <f t="shared" si="97"/>
        <v>0.1884</v>
      </c>
      <c r="I769" s="25">
        <f t="shared" si="98"/>
        <v>0.3333333333</v>
      </c>
      <c r="J769" s="24">
        <f t="shared" si="99"/>
        <v>0.07684718314</v>
      </c>
      <c r="K769" s="24">
        <f t="shared" si="100"/>
        <v>0.6546889949</v>
      </c>
      <c r="L769" s="24">
        <f t="shared" si="5"/>
        <v>0.8076353874</v>
      </c>
    </row>
    <row r="770">
      <c r="A770" s="20" t="s">
        <v>18</v>
      </c>
      <c r="B770" s="7" t="s">
        <v>58</v>
      </c>
      <c r="C770" s="7">
        <v>10.0</v>
      </c>
      <c r="D770" s="21">
        <v>0.94</v>
      </c>
      <c r="E770" s="7">
        <v>0.53</v>
      </c>
      <c r="F770" s="7">
        <v>0.002</v>
      </c>
      <c r="G770" s="38">
        <v>56.5054302980001</v>
      </c>
      <c r="H770" s="24">
        <f t="shared" si="97"/>
        <v>0.1884</v>
      </c>
      <c r="I770" s="25">
        <f t="shared" si="98"/>
        <v>0.3333333333</v>
      </c>
      <c r="J770" s="24">
        <f t="shared" si="99"/>
        <v>0.1714485184</v>
      </c>
      <c r="K770" s="24">
        <f t="shared" si="100"/>
        <v>0.6018190206</v>
      </c>
      <c r="L770" s="24">
        <f t="shared" si="5"/>
        <v>0.8785863888</v>
      </c>
    </row>
    <row r="771">
      <c r="A771" s="20" t="s">
        <v>18</v>
      </c>
      <c r="B771" s="7" t="s">
        <v>58</v>
      </c>
      <c r="C771" s="7">
        <v>11.0</v>
      </c>
      <c r="D771" s="21">
        <v>0.94</v>
      </c>
      <c r="E771" s="7">
        <v>0.49</v>
      </c>
      <c r="F771" s="7">
        <v>0.002</v>
      </c>
      <c r="G771" s="38">
        <v>52.82443654</v>
      </c>
      <c r="H771" s="24">
        <f t="shared" si="97"/>
        <v>0.1884</v>
      </c>
      <c r="I771" s="25">
        <f t="shared" si="98"/>
        <v>0.3333333333</v>
      </c>
      <c r="J771" s="24">
        <f t="shared" si="99"/>
        <v>0.1270575931</v>
      </c>
      <c r="K771" s="24">
        <f t="shared" si="100"/>
        <v>0.6255226036</v>
      </c>
      <c r="L771" s="24">
        <f t="shared" si="5"/>
        <v>0.8452931948</v>
      </c>
    </row>
    <row r="772">
      <c r="A772" s="20" t="s">
        <v>18</v>
      </c>
      <c r="B772" s="7" t="s">
        <v>58</v>
      </c>
      <c r="C772" s="7">
        <v>12.0</v>
      </c>
      <c r="D772" s="21">
        <v>0.94</v>
      </c>
      <c r="E772" s="7">
        <v>0.79</v>
      </c>
      <c r="F772" s="7">
        <v>0.003</v>
      </c>
      <c r="G772" s="38">
        <v>84.016661633</v>
      </c>
      <c r="H772" s="24">
        <f t="shared" si="97"/>
        <v>0.2826</v>
      </c>
      <c r="I772" s="25">
        <f t="shared" si="98"/>
        <v>0.6666666667</v>
      </c>
      <c r="J772" s="24">
        <f t="shared" si="99"/>
        <v>0.5032200707</v>
      </c>
      <c r="K772" s="24">
        <f t="shared" si="100"/>
        <v>0.3751945646</v>
      </c>
      <c r="L772" s="24">
        <f t="shared" si="5"/>
        <v>0.9019320424</v>
      </c>
    </row>
    <row r="773">
      <c r="A773" s="20" t="s">
        <v>18</v>
      </c>
      <c r="B773" s="7" t="s">
        <v>58</v>
      </c>
      <c r="C773" s="7">
        <v>13.0</v>
      </c>
      <c r="D773" s="21">
        <v>0.94</v>
      </c>
      <c r="E773" s="7">
        <v>0.81</v>
      </c>
      <c r="F773" s="7">
        <v>0.003</v>
      </c>
      <c r="G773" s="38">
        <v>86.538074973</v>
      </c>
      <c r="H773" s="24">
        <f t="shared" si="97"/>
        <v>0.2826</v>
      </c>
      <c r="I773" s="25">
        <f t="shared" si="98"/>
        <v>0.6666666667</v>
      </c>
      <c r="J773" s="24">
        <f t="shared" si="99"/>
        <v>0.5336270419</v>
      </c>
      <c r="K773" s="24">
        <f t="shared" si="100"/>
        <v>0.3677556437</v>
      </c>
      <c r="L773" s="24">
        <f t="shared" si="5"/>
        <v>0.9201762252</v>
      </c>
    </row>
    <row r="774">
      <c r="A774" s="20" t="s">
        <v>18</v>
      </c>
      <c r="B774" s="7" t="s">
        <v>58</v>
      </c>
      <c r="C774" s="7">
        <v>14.0</v>
      </c>
      <c r="D774" s="21">
        <v>0.94</v>
      </c>
      <c r="E774" s="7">
        <v>0.87</v>
      </c>
      <c r="F774" s="7">
        <v>0.003</v>
      </c>
      <c r="G774" s="38">
        <v>92.6233532189999</v>
      </c>
      <c r="H774" s="24">
        <f t="shared" si="97"/>
        <v>0.2826</v>
      </c>
      <c r="I774" s="25">
        <f t="shared" si="98"/>
        <v>0.6666666667</v>
      </c>
      <c r="J774" s="24">
        <f t="shared" si="99"/>
        <v>0.6070124235</v>
      </c>
      <c r="K774" s="24">
        <f t="shared" si="100"/>
        <v>0.3509618169</v>
      </c>
      <c r="L774" s="24">
        <f t="shared" si="5"/>
        <v>0.9642074541</v>
      </c>
    </row>
    <row r="775">
      <c r="A775" s="20" t="s">
        <v>18</v>
      </c>
      <c r="B775" s="7" t="s">
        <v>58</v>
      </c>
      <c r="C775" s="7">
        <v>15.0</v>
      </c>
      <c r="D775" s="21">
        <v>0.94</v>
      </c>
      <c r="E775" s="7">
        <v>0.55</v>
      </c>
      <c r="F775" s="7">
        <v>0.002</v>
      </c>
      <c r="G775" s="38">
        <v>58.181776871</v>
      </c>
      <c r="H775" s="24">
        <f t="shared" si="97"/>
        <v>0.1884</v>
      </c>
      <c r="I775" s="25">
        <f t="shared" si="98"/>
        <v>0.3333333333</v>
      </c>
      <c r="J775" s="24">
        <f t="shared" si="99"/>
        <v>0.1916644112</v>
      </c>
      <c r="K775" s="24">
        <f t="shared" si="100"/>
        <v>0.5916095113</v>
      </c>
      <c r="L775" s="24">
        <f t="shared" si="5"/>
        <v>0.8937483084</v>
      </c>
    </row>
    <row r="776">
      <c r="A776" s="20" t="s">
        <v>18</v>
      </c>
      <c r="B776" s="7" t="s">
        <v>58</v>
      </c>
      <c r="C776" s="7">
        <v>16.0</v>
      </c>
      <c r="D776" s="21">
        <v>0.94</v>
      </c>
      <c r="E776" s="7">
        <v>0.39</v>
      </c>
      <c r="F776" s="7">
        <v>0.001</v>
      </c>
      <c r="G776" s="38">
        <v>42.3037341809999</v>
      </c>
      <c r="H776" s="24">
        <f t="shared" si="97"/>
        <v>0.0942</v>
      </c>
      <c r="I776" s="25">
        <f t="shared" si="98"/>
        <v>0</v>
      </c>
      <c r="J776" s="24">
        <f t="shared" si="99"/>
        <v>0.0001832372708</v>
      </c>
      <c r="K776" s="24">
        <f t="shared" si="100"/>
        <v>0.9398277885</v>
      </c>
      <c r="L776" s="24">
        <f t="shared" si="5"/>
        <v>1.000183237</v>
      </c>
    </row>
    <row r="777">
      <c r="A777" s="20" t="s">
        <v>18</v>
      </c>
      <c r="B777" s="7" t="s">
        <v>58</v>
      </c>
      <c r="C777" s="7">
        <v>17.0</v>
      </c>
      <c r="D777" s="21">
        <v>0.94</v>
      </c>
      <c r="E777" s="7">
        <v>0.47</v>
      </c>
      <c r="F777" s="7">
        <v>0.002</v>
      </c>
      <c r="G777" s="38">
        <v>50.3881007970001</v>
      </c>
      <c r="H777" s="24">
        <f t="shared" si="97"/>
        <v>0.1884</v>
      </c>
      <c r="I777" s="25">
        <f t="shared" si="98"/>
        <v>0.3333333333</v>
      </c>
      <c r="J777" s="24">
        <f t="shared" si="99"/>
        <v>0.09767661478</v>
      </c>
      <c r="K777" s="24">
        <f t="shared" si="100"/>
        <v>0.6422656641</v>
      </c>
      <c r="L777" s="24">
        <f t="shared" si="5"/>
        <v>0.8232574611</v>
      </c>
    </row>
    <row r="778">
      <c r="A778" s="20" t="s">
        <v>18</v>
      </c>
      <c r="B778" s="7" t="s">
        <v>58</v>
      </c>
      <c r="C778" s="7">
        <v>18.0</v>
      </c>
      <c r="D778" s="21">
        <v>0.94</v>
      </c>
      <c r="E778" s="7">
        <v>0.86</v>
      </c>
      <c r="F778" s="7">
        <v>0.003</v>
      </c>
      <c r="G778" s="38">
        <v>91.304887797</v>
      </c>
      <c r="H778" s="24">
        <f t="shared" si="97"/>
        <v>0.2826</v>
      </c>
      <c r="I778" s="25">
        <f t="shared" si="98"/>
        <v>0.6666666667</v>
      </c>
      <c r="J778" s="24">
        <f t="shared" si="99"/>
        <v>0.5911123966</v>
      </c>
      <c r="K778" s="24">
        <f t="shared" si="100"/>
        <v>0.3544689874</v>
      </c>
      <c r="L778" s="24">
        <f t="shared" si="5"/>
        <v>0.954667438</v>
      </c>
    </row>
    <row r="779">
      <c r="A779" s="20" t="s">
        <v>18</v>
      </c>
      <c r="B779" s="7" t="s">
        <v>58</v>
      </c>
      <c r="C779" s="7">
        <v>19.0</v>
      </c>
      <c r="D779" s="21">
        <v>0.94</v>
      </c>
      <c r="E779" s="7">
        <v>1.02</v>
      </c>
      <c r="F779" s="7">
        <v>0.004</v>
      </c>
      <c r="G779" s="38">
        <v>108.735886244999</v>
      </c>
      <c r="H779" s="24">
        <f t="shared" si="97"/>
        <v>0.3768</v>
      </c>
      <c r="I779" s="25">
        <f t="shared" si="98"/>
        <v>1</v>
      </c>
      <c r="J779" s="24">
        <f t="shared" si="99"/>
        <v>0.8013214325</v>
      </c>
      <c r="K779" s="24">
        <f t="shared" si="100"/>
        <v>0.2609195625</v>
      </c>
      <c r="L779" s="24">
        <f t="shared" si="5"/>
        <v>0.9006607162</v>
      </c>
    </row>
    <row r="780">
      <c r="A780" s="20" t="s">
        <v>18</v>
      </c>
      <c r="B780" s="7" t="s">
        <v>58</v>
      </c>
      <c r="C780" s="7">
        <v>20.0</v>
      </c>
      <c r="D780" s="21">
        <v>0.94</v>
      </c>
      <c r="E780" s="7">
        <v>1.18</v>
      </c>
      <c r="F780" s="7">
        <v>0.004</v>
      </c>
      <c r="G780" s="38">
        <v>125.21075274</v>
      </c>
      <c r="H780" s="24">
        <f t="shared" si="97"/>
        <v>0.3768</v>
      </c>
      <c r="I780" s="25">
        <f t="shared" si="98"/>
        <v>1</v>
      </c>
      <c r="J780" s="24">
        <f t="shared" si="99"/>
        <v>1</v>
      </c>
      <c r="K780" s="24">
        <f t="shared" si="100"/>
        <v>0.235</v>
      </c>
      <c r="L780" s="24">
        <f t="shared" si="5"/>
        <v>1</v>
      </c>
    </row>
    <row r="781">
      <c r="A781" s="20" t="s">
        <v>18</v>
      </c>
      <c r="B781" s="7" t="s">
        <v>58</v>
      </c>
      <c r="C781" s="7">
        <v>21.0</v>
      </c>
      <c r="D781" s="21">
        <v>0.94</v>
      </c>
      <c r="E781" s="7">
        <v>1.1</v>
      </c>
      <c r="F781" s="7">
        <v>0.004</v>
      </c>
      <c r="G781" s="38">
        <v>117.041921722999</v>
      </c>
      <c r="H781" s="24">
        <f t="shared" si="97"/>
        <v>0.3768</v>
      </c>
      <c r="I781" s="25">
        <f t="shared" si="98"/>
        <v>1</v>
      </c>
      <c r="J781" s="24">
        <f t="shared" si="99"/>
        <v>0.9014880245</v>
      </c>
      <c r="K781" s="24">
        <f t="shared" si="100"/>
        <v>0.2471748409</v>
      </c>
      <c r="L781" s="24">
        <f t="shared" si="5"/>
        <v>0.9507440122</v>
      </c>
    </row>
    <row r="782">
      <c r="A782" s="20" t="s">
        <v>18</v>
      </c>
      <c r="B782" s="7" t="s">
        <v>58</v>
      </c>
      <c r="C782" s="7">
        <v>22.0</v>
      </c>
      <c r="D782" s="21">
        <v>0.94</v>
      </c>
      <c r="E782" s="7">
        <v>0.79</v>
      </c>
      <c r="F782" s="7">
        <v>0.003</v>
      </c>
      <c r="G782" s="38">
        <v>83.8750770460001</v>
      </c>
      <c r="H782" s="24">
        <f t="shared" si="97"/>
        <v>0.2826</v>
      </c>
      <c r="I782" s="25">
        <f t="shared" si="98"/>
        <v>0.6666666667</v>
      </c>
      <c r="J782" s="24">
        <f t="shared" si="99"/>
        <v>0.5015126322</v>
      </c>
      <c r="K782" s="24">
        <f t="shared" si="100"/>
        <v>0.3756212155</v>
      </c>
      <c r="L782" s="24">
        <f t="shared" si="5"/>
        <v>0.9009075793</v>
      </c>
    </row>
    <row r="783">
      <c r="A783" s="20" t="s">
        <v>18</v>
      </c>
      <c r="B783" s="7" t="s">
        <v>58</v>
      </c>
      <c r="C783" s="7">
        <v>23.0</v>
      </c>
      <c r="D783" s="21">
        <v>0.94</v>
      </c>
      <c r="E783" s="7">
        <v>0.55</v>
      </c>
      <c r="F783" s="7">
        <v>0.002</v>
      </c>
      <c r="G783" s="38">
        <v>58.117509009</v>
      </c>
      <c r="H783" s="24">
        <f t="shared" si="97"/>
        <v>0.1884</v>
      </c>
      <c r="I783" s="25">
        <f t="shared" si="98"/>
        <v>0.3333333333</v>
      </c>
      <c r="J783" s="24">
        <f t="shared" si="99"/>
        <v>0.1908893733</v>
      </c>
      <c r="K783" s="24">
        <f t="shared" si="100"/>
        <v>0.5919945344</v>
      </c>
      <c r="L783" s="24">
        <f t="shared" si="5"/>
        <v>0.8931670299</v>
      </c>
    </row>
    <row r="784">
      <c r="A784" s="20" t="s">
        <v>18</v>
      </c>
      <c r="B784" s="7" t="s">
        <v>58</v>
      </c>
      <c r="C784" s="7">
        <v>24.0</v>
      </c>
      <c r="D784" s="21">
        <v>0.94</v>
      </c>
      <c r="E784" s="7">
        <v>0.57</v>
      </c>
      <c r="F784" s="7">
        <v>0.002</v>
      </c>
      <c r="G784" s="38">
        <v>60.7143474929998</v>
      </c>
      <c r="H784" s="24">
        <f t="shared" si="97"/>
        <v>0.1884</v>
      </c>
      <c r="I784" s="25">
        <f t="shared" si="98"/>
        <v>0.3333333333</v>
      </c>
      <c r="J784" s="24">
        <f t="shared" si="99"/>
        <v>0.2222059336</v>
      </c>
      <c r="K784" s="24">
        <f t="shared" si="100"/>
        <v>0.5768258692</v>
      </c>
      <c r="L784" s="24">
        <f t="shared" si="5"/>
        <v>0.9166544502</v>
      </c>
    </row>
    <row r="785">
      <c r="A785" s="20" t="s">
        <v>18</v>
      </c>
      <c r="B785" s="7" t="s">
        <v>58</v>
      </c>
      <c r="C785" s="7">
        <v>25.0</v>
      </c>
      <c r="D785" s="21">
        <v>0.94</v>
      </c>
      <c r="E785" s="7">
        <v>1.07</v>
      </c>
      <c r="F785" s="7">
        <v>0.004</v>
      </c>
      <c r="G785" s="38">
        <v>113.421231560999</v>
      </c>
      <c r="H785" s="24">
        <f t="shared" si="97"/>
        <v>0.3768</v>
      </c>
      <c r="I785" s="25">
        <f t="shared" si="98"/>
        <v>1</v>
      </c>
      <c r="J785" s="24">
        <f t="shared" si="99"/>
        <v>0.8578243301</v>
      </c>
      <c r="K785" s="24">
        <f t="shared" si="100"/>
        <v>0.2529840913</v>
      </c>
      <c r="L785" s="24">
        <f t="shared" si="5"/>
        <v>0.9289121651</v>
      </c>
    </row>
    <row r="786">
      <c r="A786" s="20" t="s">
        <v>18</v>
      </c>
      <c r="B786" s="7" t="s">
        <v>58</v>
      </c>
      <c r="C786" s="7">
        <v>26.0</v>
      </c>
      <c r="D786" s="21">
        <v>0.94</v>
      </c>
      <c r="E786" s="7">
        <v>0.76</v>
      </c>
      <c r="F786" s="7">
        <v>0.003</v>
      </c>
      <c r="G786" s="38">
        <v>80.7754488750001</v>
      </c>
      <c r="H786" s="24">
        <f t="shared" si="97"/>
        <v>0.2826</v>
      </c>
      <c r="I786" s="25">
        <f t="shared" si="98"/>
        <v>0.6666666667</v>
      </c>
      <c r="J786" s="24">
        <f t="shared" si="99"/>
        <v>0.4641326822</v>
      </c>
      <c r="K786" s="24">
        <f t="shared" si="100"/>
        <v>0.38521099</v>
      </c>
      <c r="L786" s="24">
        <f t="shared" si="5"/>
        <v>0.8784796093</v>
      </c>
    </row>
    <row r="787">
      <c r="A787" s="20" t="s">
        <v>18</v>
      </c>
      <c r="B787" s="7" t="s">
        <v>58</v>
      </c>
      <c r="C787" s="7">
        <v>27.0</v>
      </c>
      <c r="D787" s="21">
        <v>0.94</v>
      </c>
      <c r="E787" s="7">
        <v>0.79</v>
      </c>
      <c r="F787" s="7">
        <v>0.003</v>
      </c>
      <c r="G787" s="38">
        <v>83.798730592</v>
      </c>
      <c r="H787" s="24">
        <f t="shared" si="97"/>
        <v>0.2826</v>
      </c>
      <c r="I787" s="25">
        <f t="shared" si="98"/>
        <v>0.6666666667</v>
      </c>
      <c r="J787" s="24">
        <f t="shared" si="99"/>
        <v>0.5005919325</v>
      </c>
      <c r="K787" s="24">
        <f t="shared" si="100"/>
        <v>0.3758516808</v>
      </c>
      <c r="L787" s="24">
        <f t="shared" si="5"/>
        <v>0.9003551595</v>
      </c>
    </row>
    <row r="788">
      <c r="A788" s="20" t="s">
        <v>18</v>
      </c>
      <c r="B788" s="7" t="s">
        <v>58</v>
      </c>
      <c r="C788" s="7">
        <v>28.0</v>
      </c>
      <c r="D788" s="21">
        <v>0.94</v>
      </c>
      <c r="E788" s="7">
        <v>0.83</v>
      </c>
      <c r="F788" s="7">
        <v>0.003</v>
      </c>
      <c r="G788" s="38">
        <v>88.0119080479999</v>
      </c>
      <c r="H788" s="24">
        <f t="shared" si="97"/>
        <v>0.2826</v>
      </c>
      <c r="I788" s="25">
        <f t="shared" si="98"/>
        <v>0.6666666667</v>
      </c>
      <c r="J788" s="24">
        <f t="shared" si="99"/>
        <v>0.5514007243</v>
      </c>
      <c r="K788" s="24">
        <f t="shared" si="100"/>
        <v>0.363542437</v>
      </c>
      <c r="L788" s="24">
        <f t="shared" si="5"/>
        <v>0.9308404346</v>
      </c>
    </row>
    <row r="789">
      <c r="A789" s="20" t="s">
        <v>18</v>
      </c>
      <c r="B789" s="7" t="s">
        <v>58</v>
      </c>
      <c r="C789" s="7">
        <v>29.0</v>
      </c>
      <c r="D789" s="21">
        <v>0.94</v>
      </c>
      <c r="E789" s="7">
        <v>0.43</v>
      </c>
      <c r="F789" s="7">
        <v>0.002</v>
      </c>
      <c r="G789" s="38">
        <v>46.115076433</v>
      </c>
      <c r="H789" s="24">
        <f t="shared" si="97"/>
        <v>0.1884</v>
      </c>
      <c r="I789" s="25">
        <f t="shared" si="98"/>
        <v>0.3333333333</v>
      </c>
      <c r="J789" s="24">
        <f t="shared" si="99"/>
        <v>0.0461460995</v>
      </c>
      <c r="K789" s="24">
        <f t="shared" si="100"/>
        <v>0.673902049</v>
      </c>
      <c r="L789" s="24">
        <f t="shared" si="5"/>
        <v>0.7846095746</v>
      </c>
    </row>
    <row r="790">
      <c r="A790" s="20" t="s">
        <v>18</v>
      </c>
      <c r="B790" s="7" t="s">
        <v>58</v>
      </c>
      <c r="C790" s="7">
        <v>30.0</v>
      </c>
      <c r="D790" s="21">
        <v>0.94</v>
      </c>
      <c r="E790" s="7">
        <v>0.95</v>
      </c>
      <c r="F790" s="7">
        <v>0.003</v>
      </c>
      <c r="G790" s="38">
        <v>100.920442791999</v>
      </c>
      <c r="H790" s="24">
        <f t="shared" si="97"/>
        <v>0.2826</v>
      </c>
      <c r="I790" s="25">
        <f t="shared" si="98"/>
        <v>0.6666666667</v>
      </c>
      <c r="J790" s="24">
        <f t="shared" si="99"/>
        <v>0.7070711325</v>
      </c>
      <c r="K790" s="24">
        <f t="shared" si="100"/>
        <v>0.3303904502</v>
      </c>
      <c r="L790" s="24">
        <f t="shared" si="5"/>
        <v>1.024242679</v>
      </c>
    </row>
    <row r="791">
      <c r="A791" s="20" t="s">
        <v>18</v>
      </c>
      <c r="B791" s="7" t="s">
        <v>58</v>
      </c>
      <c r="C791" s="7">
        <v>31.0</v>
      </c>
      <c r="D791" s="21">
        <v>0.94</v>
      </c>
      <c r="E791" s="7">
        <v>1.02</v>
      </c>
      <c r="F791" s="7">
        <v>0.004</v>
      </c>
      <c r="G791" s="38">
        <v>107.844416914999</v>
      </c>
      <c r="H791" s="24">
        <f t="shared" si="97"/>
        <v>0.3768</v>
      </c>
      <c r="I791" s="25">
        <f t="shared" si="98"/>
        <v>1</v>
      </c>
      <c r="J791" s="24">
        <f t="shared" si="99"/>
        <v>0.7905707627</v>
      </c>
      <c r="K791" s="24">
        <f t="shared" si="100"/>
        <v>0.2624861356</v>
      </c>
      <c r="L791" s="24">
        <f t="shared" si="5"/>
        <v>0.8952853813</v>
      </c>
    </row>
    <row r="792">
      <c r="A792" s="20" t="s">
        <v>18</v>
      </c>
      <c r="B792" s="7" t="s">
        <v>58</v>
      </c>
      <c r="C792" s="7">
        <v>32.0</v>
      </c>
      <c r="D792" s="21">
        <v>0.94</v>
      </c>
      <c r="E792" s="7">
        <v>0.46</v>
      </c>
      <c r="F792" s="7">
        <v>0.002</v>
      </c>
      <c r="G792" s="38">
        <v>49.3984395930001</v>
      </c>
      <c r="H792" s="24">
        <f t="shared" si="97"/>
        <v>0.1884</v>
      </c>
      <c r="I792" s="25">
        <f t="shared" si="98"/>
        <v>0.3333333333</v>
      </c>
      <c r="J792" s="24">
        <f t="shared" si="99"/>
        <v>0.0857418006</v>
      </c>
      <c r="K792" s="24">
        <f t="shared" si="100"/>
        <v>0.6493256496</v>
      </c>
      <c r="L792" s="24">
        <f t="shared" si="5"/>
        <v>0.8143063504</v>
      </c>
    </row>
    <row r="793">
      <c r="A793" s="20" t="s">
        <v>18</v>
      </c>
      <c r="B793" s="7" t="s">
        <v>58</v>
      </c>
      <c r="C793" s="7">
        <v>33.0</v>
      </c>
      <c r="D793" s="21">
        <v>0.94</v>
      </c>
      <c r="E793" s="7">
        <v>0.5</v>
      </c>
      <c r="F793" s="7">
        <v>0.002</v>
      </c>
      <c r="G793" s="38">
        <v>52.7352670760001</v>
      </c>
      <c r="H793" s="24">
        <f t="shared" si="97"/>
        <v>0.1884</v>
      </c>
      <c r="I793" s="25">
        <f t="shared" si="98"/>
        <v>0.3333333333</v>
      </c>
      <c r="J793" s="24">
        <f t="shared" si="99"/>
        <v>0.1259822544</v>
      </c>
      <c r="K793" s="24">
        <f t="shared" si="100"/>
        <v>0.6261199919</v>
      </c>
      <c r="L793" s="24">
        <f t="shared" si="5"/>
        <v>0.8444866908</v>
      </c>
    </row>
    <row r="794">
      <c r="I794" s="25"/>
    </row>
    <row r="795">
      <c r="I795" s="25"/>
    </row>
    <row r="796">
      <c r="I796" s="25"/>
    </row>
    <row r="797">
      <c r="I797" s="25"/>
    </row>
    <row r="798">
      <c r="I798" s="25"/>
    </row>
    <row r="799">
      <c r="I799" s="25"/>
    </row>
    <row r="800">
      <c r="I800" s="25"/>
    </row>
    <row r="801">
      <c r="I801" s="25"/>
    </row>
    <row r="802">
      <c r="I802" s="25"/>
    </row>
    <row r="803">
      <c r="I803" s="25"/>
    </row>
    <row r="804">
      <c r="I804" s="25"/>
    </row>
    <row r="805">
      <c r="I805" s="25"/>
    </row>
    <row r="806">
      <c r="I806" s="25"/>
    </row>
    <row r="807">
      <c r="I807" s="25"/>
    </row>
    <row r="808">
      <c r="I808" s="25"/>
    </row>
    <row r="809">
      <c r="I809" s="25"/>
    </row>
    <row r="810">
      <c r="I810" s="25"/>
    </row>
    <row r="811">
      <c r="I811" s="25"/>
    </row>
    <row r="812">
      <c r="I812" s="25"/>
    </row>
    <row r="813">
      <c r="I813" s="25"/>
    </row>
    <row r="814">
      <c r="I814" s="25"/>
    </row>
    <row r="815">
      <c r="I815" s="25"/>
    </row>
    <row r="816">
      <c r="I816" s="25"/>
    </row>
    <row r="817">
      <c r="I817" s="25"/>
    </row>
    <row r="818">
      <c r="I818" s="25"/>
    </row>
    <row r="819">
      <c r="I819" s="25"/>
    </row>
    <row r="820">
      <c r="I820" s="25"/>
    </row>
    <row r="821">
      <c r="I821" s="25"/>
    </row>
    <row r="822">
      <c r="I822" s="25"/>
    </row>
    <row r="823">
      <c r="I823" s="25"/>
    </row>
    <row r="824">
      <c r="I824" s="25"/>
    </row>
    <row r="825">
      <c r="I825" s="25"/>
    </row>
    <row r="826">
      <c r="I826" s="25"/>
    </row>
    <row r="827">
      <c r="I827" s="25"/>
    </row>
    <row r="828">
      <c r="I828" s="25"/>
    </row>
    <row r="829">
      <c r="I829" s="25"/>
    </row>
    <row r="830">
      <c r="I830" s="25"/>
    </row>
    <row r="831">
      <c r="I831" s="25"/>
    </row>
    <row r="832">
      <c r="I832" s="25"/>
    </row>
    <row r="833">
      <c r="I833" s="25"/>
    </row>
    <row r="834">
      <c r="I834" s="25"/>
    </row>
    <row r="835">
      <c r="I835" s="25"/>
    </row>
    <row r="836">
      <c r="I836" s="25"/>
    </row>
    <row r="837">
      <c r="I837" s="25"/>
    </row>
    <row r="838">
      <c r="I838" s="25"/>
    </row>
    <row r="839">
      <c r="I839" s="25"/>
    </row>
    <row r="840">
      <c r="I840" s="25"/>
    </row>
    <row r="841">
      <c r="I841" s="25"/>
    </row>
    <row r="842">
      <c r="I842" s="25"/>
    </row>
    <row r="843">
      <c r="I843" s="25"/>
    </row>
    <row r="844">
      <c r="I844" s="25"/>
    </row>
    <row r="845">
      <c r="I845" s="25"/>
    </row>
    <row r="846">
      <c r="I846" s="25"/>
    </row>
    <row r="847">
      <c r="I847" s="25"/>
    </row>
    <row r="848">
      <c r="I848" s="25"/>
    </row>
    <row r="849">
      <c r="I849" s="25"/>
    </row>
    <row r="850">
      <c r="I850" s="25"/>
    </row>
    <row r="851">
      <c r="I851" s="25"/>
    </row>
    <row r="852">
      <c r="I852" s="25"/>
    </row>
    <row r="853">
      <c r="I853" s="25"/>
    </row>
    <row r="854">
      <c r="I854" s="25"/>
    </row>
    <row r="855">
      <c r="I855" s="25"/>
    </row>
    <row r="856">
      <c r="I856" s="25"/>
    </row>
    <row r="857">
      <c r="I857" s="25"/>
    </row>
    <row r="858">
      <c r="I858" s="25"/>
    </row>
    <row r="859">
      <c r="I859" s="25"/>
    </row>
    <row r="860">
      <c r="I860" s="25"/>
    </row>
    <row r="861">
      <c r="I861" s="25"/>
    </row>
    <row r="862">
      <c r="I862" s="25"/>
    </row>
    <row r="863">
      <c r="I863" s="25"/>
    </row>
    <row r="864">
      <c r="I864" s="25"/>
    </row>
    <row r="865">
      <c r="I865" s="25"/>
    </row>
    <row r="866">
      <c r="I866" s="25"/>
    </row>
    <row r="867">
      <c r="I867" s="25"/>
    </row>
    <row r="868">
      <c r="I868" s="25"/>
    </row>
    <row r="869">
      <c r="I869" s="25"/>
    </row>
    <row r="870">
      <c r="I870" s="25"/>
    </row>
    <row r="871">
      <c r="I871" s="25"/>
    </row>
    <row r="872">
      <c r="I872" s="25"/>
    </row>
    <row r="873">
      <c r="I873" s="25"/>
    </row>
    <row r="874">
      <c r="I874" s="25"/>
    </row>
    <row r="875">
      <c r="I875" s="25"/>
    </row>
    <row r="876">
      <c r="I876" s="25"/>
    </row>
    <row r="877">
      <c r="I877" s="25"/>
    </row>
    <row r="878">
      <c r="I878" s="25"/>
    </row>
    <row r="879">
      <c r="I879" s="25"/>
    </row>
    <row r="880">
      <c r="I880" s="25"/>
    </row>
    <row r="881">
      <c r="I881" s="25"/>
    </row>
    <row r="882">
      <c r="I882" s="25"/>
    </row>
    <row r="883">
      <c r="I883" s="25"/>
    </row>
    <row r="884">
      <c r="I884" s="25"/>
    </row>
    <row r="885">
      <c r="I885" s="25"/>
    </row>
    <row r="886">
      <c r="I886" s="25"/>
    </row>
    <row r="887">
      <c r="I887" s="25"/>
    </row>
    <row r="888">
      <c r="I888" s="25"/>
    </row>
    <row r="889">
      <c r="I889" s="25"/>
    </row>
    <row r="890">
      <c r="I890" s="25"/>
    </row>
    <row r="891">
      <c r="I891" s="25"/>
    </row>
    <row r="892">
      <c r="I892" s="25"/>
    </row>
    <row r="893">
      <c r="I893" s="25"/>
    </row>
    <row r="894">
      <c r="I894" s="25"/>
    </row>
    <row r="895">
      <c r="I895" s="25"/>
    </row>
    <row r="896">
      <c r="I896" s="25"/>
    </row>
    <row r="897">
      <c r="I897" s="25"/>
    </row>
    <row r="898">
      <c r="I898" s="25"/>
    </row>
    <row r="899">
      <c r="I899" s="25"/>
    </row>
    <row r="900">
      <c r="I900" s="25"/>
    </row>
    <row r="901">
      <c r="I901" s="25"/>
    </row>
    <row r="902">
      <c r="I902" s="25"/>
    </row>
    <row r="903">
      <c r="I903" s="25"/>
    </row>
    <row r="904">
      <c r="I904" s="25"/>
    </row>
    <row r="905">
      <c r="I905" s="25"/>
    </row>
    <row r="906">
      <c r="I906" s="25"/>
    </row>
    <row r="907">
      <c r="I907" s="25"/>
    </row>
    <row r="908">
      <c r="I908" s="25"/>
    </row>
    <row r="909">
      <c r="I909" s="25"/>
    </row>
    <row r="910">
      <c r="I910" s="25"/>
    </row>
    <row r="911">
      <c r="I911" s="25"/>
    </row>
    <row r="912">
      <c r="I912" s="25"/>
    </row>
    <row r="913">
      <c r="I913" s="25"/>
    </row>
    <row r="914">
      <c r="I914" s="25"/>
    </row>
    <row r="915">
      <c r="I915" s="25"/>
    </row>
    <row r="916">
      <c r="I916" s="25"/>
    </row>
    <row r="917">
      <c r="I917" s="25"/>
    </row>
    <row r="918">
      <c r="I918" s="25"/>
    </row>
    <row r="919">
      <c r="I919" s="25"/>
    </row>
    <row r="920">
      <c r="I920" s="25"/>
    </row>
    <row r="921">
      <c r="I921" s="25"/>
    </row>
    <row r="922">
      <c r="I922" s="25"/>
    </row>
    <row r="923">
      <c r="I923" s="25"/>
    </row>
    <row r="924">
      <c r="I924" s="25"/>
    </row>
    <row r="925">
      <c r="I925" s="25"/>
    </row>
    <row r="926">
      <c r="I926" s="25"/>
    </row>
    <row r="927">
      <c r="I927" s="25"/>
    </row>
    <row r="928">
      <c r="I928" s="25"/>
    </row>
    <row r="929">
      <c r="I929" s="25"/>
    </row>
    <row r="930">
      <c r="I930" s="25"/>
    </row>
    <row r="931">
      <c r="I931" s="25"/>
    </row>
    <row r="932">
      <c r="I932" s="25"/>
    </row>
    <row r="933">
      <c r="I933" s="25"/>
    </row>
    <row r="934">
      <c r="I934" s="25"/>
    </row>
    <row r="935">
      <c r="I935" s="25"/>
    </row>
    <row r="936">
      <c r="I936" s="25"/>
    </row>
    <row r="937">
      <c r="I937" s="25"/>
    </row>
    <row r="938">
      <c r="I938" s="25"/>
    </row>
    <row r="939">
      <c r="I939" s="25"/>
    </row>
    <row r="940">
      <c r="I940" s="25"/>
    </row>
    <row r="941">
      <c r="I941" s="25"/>
    </row>
    <row r="942">
      <c r="I942" s="25"/>
    </row>
    <row r="943">
      <c r="I943" s="25"/>
    </row>
    <row r="944">
      <c r="I944" s="25"/>
    </row>
    <row r="945">
      <c r="I945" s="25"/>
    </row>
    <row r="946">
      <c r="I946" s="25"/>
    </row>
    <row r="947">
      <c r="I947" s="25"/>
    </row>
    <row r="948">
      <c r="I948" s="25"/>
    </row>
    <row r="949">
      <c r="I949" s="25"/>
    </row>
    <row r="950">
      <c r="I950" s="25"/>
    </row>
    <row r="951">
      <c r="I951" s="25"/>
    </row>
    <row r="952">
      <c r="I952" s="25"/>
    </row>
    <row r="953">
      <c r="I953" s="25"/>
    </row>
    <row r="954">
      <c r="I954" s="25"/>
    </row>
    <row r="955">
      <c r="I955" s="25"/>
    </row>
    <row r="956">
      <c r="I956" s="25"/>
    </row>
    <row r="957">
      <c r="I957" s="25"/>
    </row>
    <row r="958">
      <c r="I958" s="25"/>
    </row>
    <row r="959">
      <c r="I959" s="25"/>
    </row>
    <row r="960">
      <c r="I960" s="25"/>
    </row>
    <row r="961">
      <c r="I961" s="25"/>
    </row>
    <row r="962">
      <c r="I962" s="25"/>
    </row>
    <row r="963">
      <c r="I963" s="25"/>
    </row>
    <row r="964">
      <c r="I964" s="25"/>
    </row>
    <row r="965">
      <c r="I965" s="25"/>
    </row>
    <row r="966">
      <c r="I966" s="25"/>
    </row>
    <row r="967">
      <c r="I967" s="25"/>
    </row>
    <row r="968">
      <c r="I968" s="25"/>
    </row>
    <row r="969">
      <c r="I969" s="25"/>
    </row>
    <row r="970">
      <c r="I970" s="25"/>
    </row>
    <row r="971">
      <c r="I971" s="25"/>
    </row>
    <row r="972">
      <c r="I972" s="25"/>
    </row>
    <row r="973">
      <c r="I973" s="25"/>
    </row>
    <row r="974">
      <c r="I974" s="25"/>
    </row>
    <row r="975">
      <c r="I975" s="25"/>
    </row>
    <row r="976">
      <c r="I976" s="25"/>
    </row>
    <row r="977">
      <c r="I977" s="25"/>
    </row>
    <row r="978">
      <c r="I978" s="25"/>
    </row>
    <row r="979">
      <c r="I979" s="25"/>
    </row>
    <row r="980">
      <c r="I980" s="25"/>
    </row>
    <row r="981">
      <c r="I981" s="25"/>
    </row>
    <row r="982">
      <c r="I982" s="25"/>
    </row>
    <row r="983">
      <c r="I983" s="25"/>
    </row>
    <row r="984">
      <c r="I984" s="25"/>
    </row>
    <row r="985">
      <c r="I985" s="25"/>
    </row>
    <row r="986">
      <c r="I986" s="25"/>
    </row>
    <row r="987">
      <c r="I987" s="25"/>
    </row>
    <row r="988">
      <c r="I988" s="25"/>
    </row>
    <row r="989">
      <c r="I989" s="25"/>
    </row>
    <row r="990">
      <c r="I990" s="25"/>
    </row>
    <row r="991">
      <c r="I991" s="25"/>
    </row>
    <row r="992">
      <c r="I992" s="25"/>
    </row>
    <row r="993">
      <c r="I993" s="25"/>
    </row>
    <row r="994">
      <c r="I994" s="25"/>
    </row>
    <row r="995">
      <c r="I995" s="25"/>
    </row>
    <row r="996">
      <c r="I996" s="25"/>
    </row>
    <row r="997">
      <c r="I997" s="25"/>
    </row>
    <row r="998">
      <c r="I998" s="25"/>
    </row>
    <row r="999">
      <c r="I999" s="25"/>
    </row>
    <row r="1000">
      <c r="I1000" s="25"/>
    </row>
  </sheetData>
  <mergeCells count="23">
    <mergeCell ref="N143:O143"/>
    <mergeCell ref="P143:S143"/>
    <mergeCell ref="O123:T123"/>
    <mergeCell ref="U123:X123"/>
    <mergeCell ref="AD127:AJ127"/>
    <mergeCell ref="AD164:AJ164"/>
    <mergeCell ref="AD53:AJ53"/>
    <mergeCell ref="AD90:AJ90"/>
    <mergeCell ref="N2:N16"/>
    <mergeCell ref="N17:N31"/>
    <mergeCell ref="N32:N46"/>
    <mergeCell ref="N47:N61"/>
    <mergeCell ref="N62:N67"/>
    <mergeCell ref="N68:N73"/>
    <mergeCell ref="AC1:AE1"/>
    <mergeCell ref="AF1:AH1"/>
    <mergeCell ref="AD17:AJ17"/>
    <mergeCell ref="Z1:AB1"/>
    <mergeCell ref="T11:U11"/>
    <mergeCell ref="V11:W11"/>
    <mergeCell ref="X11:Y11"/>
    <mergeCell ref="Z11:AA11"/>
    <mergeCell ref="AB11:AC11"/>
  </mergeCells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4.25"/>
  </cols>
  <sheetData>
    <row r="1">
      <c r="B1" s="42" t="s">
        <v>28</v>
      </c>
      <c r="D1" s="43" t="s">
        <v>29</v>
      </c>
      <c r="F1" s="43" t="s">
        <v>30</v>
      </c>
      <c r="H1" s="43" t="s">
        <v>31</v>
      </c>
      <c r="J1" s="43" t="s">
        <v>32</v>
      </c>
      <c r="L1" s="105"/>
      <c r="O1" s="105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>
      <c r="A2" s="45" t="s">
        <v>1</v>
      </c>
      <c r="B2" s="45" t="s">
        <v>33</v>
      </c>
      <c r="C2" s="45" t="s">
        <v>22</v>
      </c>
      <c r="D2" s="45" t="s">
        <v>33</v>
      </c>
      <c r="E2" s="45" t="s">
        <v>22</v>
      </c>
      <c r="F2" s="45" t="s">
        <v>33</v>
      </c>
      <c r="G2" s="45" t="s">
        <v>22</v>
      </c>
      <c r="H2" s="45" t="s">
        <v>33</v>
      </c>
      <c r="I2" s="45" t="s">
        <v>22</v>
      </c>
      <c r="J2" s="45" t="s">
        <v>33</v>
      </c>
      <c r="K2" s="45" t="s">
        <v>22</v>
      </c>
      <c r="L2" s="45"/>
      <c r="M2" s="45"/>
      <c r="N2" s="45"/>
      <c r="O2" s="45"/>
      <c r="P2" s="45"/>
      <c r="Q2" s="45"/>
    </row>
    <row r="3">
      <c r="A3" s="7" t="s">
        <v>21</v>
      </c>
      <c r="B3" s="47" t="s">
        <v>34</v>
      </c>
      <c r="C3" s="106">
        <v>0.9539999999999998</v>
      </c>
      <c r="D3" s="19" t="s">
        <v>35</v>
      </c>
      <c r="E3" s="106">
        <v>0.37260000000000004</v>
      </c>
      <c r="F3" s="19" t="s">
        <v>36</v>
      </c>
      <c r="G3" s="106">
        <v>1.3688000000000002</v>
      </c>
      <c r="H3" s="19" t="s">
        <v>34</v>
      </c>
      <c r="I3" s="106">
        <v>0.5247</v>
      </c>
      <c r="J3" s="19" t="s">
        <v>34</v>
      </c>
      <c r="K3" s="106">
        <v>0.5724</v>
      </c>
      <c r="L3" s="106"/>
      <c r="O3" s="106"/>
    </row>
    <row r="4">
      <c r="A4" s="7" t="s">
        <v>23</v>
      </c>
      <c r="B4" s="47" t="s">
        <v>36</v>
      </c>
      <c r="C4" s="106">
        <v>0.9911999999999999</v>
      </c>
      <c r="D4" s="19" t="s">
        <v>36</v>
      </c>
      <c r="E4" s="106">
        <v>1.3215999999999999</v>
      </c>
      <c r="F4" s="19" t="s">
        <v>36</v>
      </c>
      <c r="G4" s="106">
        <v>1.7464000000000002</v>
      </c>
      <c r="H4" s="19" t="s">
        <v>35</v>
      </c>
      <c r="I4" s="106">
        <v>0.2484</v>
      </c>
      <c r="J4" s="19" t="s">
        <v>35</v>
      </c>
      <c r="K4" s="106">
        <v>0.28980000000000006</v>
      </c>
      <c r="L4" s="106"/>
      <c r="O4" s="106"/>
    </row>
    <row r="5">
      <c r="A5" s="7" t="s">
        <v>24</v>
      </c>
      <c r="B5" s="47" t="s">
        <v>37</v>
      </c>
      <c r="C5" s="106">
        <v>0.29069999999999996</v>
      </c>
      <c r="D5" s="19" t="s">
        <v>36</v>
      </c>
      <c r="E5" s="106">
        <v>0.6608</v>
      </c>
      <c r="F5" s="19" t="s">
        <v>37</v>
      </c>
      <c r="G5" s="106">
        <v>0.48960000000000004</v>
      </c>
      <c r="H5" s="19" t="s">
        <v>34</v>
      </c>
      <c r="I5" s="106">
        <v>0.47700000000000004</v>
      </c>
      <c r="J5" s="19" t="s">
        <v>35</v>
      </c>
      <c r="K5" s="106">
        <v>0.2691</v>
      </c>
      <c r="L5" s="106"/>
      <c r="O5" s="106"/>
    </row>
    <row r="6">
      <c r="A6" s="7" t="s">
        <v>25</v>
      </c>
      <c r="B6" s="47" t="s">
        <v>36</v>
      </c>
      <c r="C6" s="106">
        <v>0.472</v>
      </c>
      <c r="D6" s="19" t="s">
        <v>35</v>
      </c>
      <c r="E6" s="106">
        <v>0.2277</v>
      </c>
      <c r="F6" s="19" t="s">
        <v>36</v>
      </c>
      <c r="G6" s="106">
        <v>0.8967999999999999</v>
      </c>
      <c r="H6" s="19" t="s">
        <v>37</v>
      </c>
      <c r="I6" s="106">
        <v>0.153</v>
      </c>
      <c r="J6" s="19" t="s">
        <v>34</v>
      </c>
      <c r="K6" s="106">
        <v>0.5724</v>
      </c>
      <c r="L6" s="106"/>
      <c r="O6" s="106"/>
    </row>
    <row r="7">
      <c r="A7" s="7" t="s">
        <v>26</v>
      </c>
      <c r="H7" s="19" t="s">
        <v>34</v>
      </c>
      <c r="I7" s="7">
        <v>0.43</v>
      </c>
      <c r="J7" s="19" t="s">
        <v>34</v>
      </c>
      <c r="K7" s="107">
        <v>0.57</v>
      </c>
    </row>
    <row r="8">
      <c r="A8" s="7" t="s">
        <v>27</v>
      </c>
      <c r="H8" s="54" t="s">
        <v>38</v>
      </c>
      <c r="I8" s="7">
        <v>0.19</v>
      </c>
      <c r="J8" s="19" t="s">
        <v>34</v>
      </c>
      <c r="K8" s="107">
        <v>0.33</v>
      </c>
    </row>
    <row r="23">
      <c r="B23" s="108"/>
      <c r="D23" s="85"/>
      <c r="F23" s="85"/>
      <c r="H23" s="85"/>
      <c r="J23" s="8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</row>
    <row r="25">
      <c r="B25" s="47"/>
      <c r="C25" s="106"/>
      <c r="D25" s="19"/>
      <c r="E25" s="106"/>
      <c r="F25" s="19"/>
      <c r="G25" s="106"/>
      <c r="H25" s="19"/>
      <c r="I25" s="106"/>
      <c r="J25" s="19"/>
      <c r="K25" s="106"/>
    </row>
    <row r="26">
      <c r="B26" s="47"/>
      <c r="C26" s="106"/>
      <c r="D26" s="19"/>
      <c r="E26" s="106"/>
      <c r="F26" s="19"/>
      <c r="G26" s="106"/>
      <c r="H26" s="19"/>
      <c r="I26" s="106"/>
      <c r="J26" s="19"/>
      <c r="K26" s="106"/>
    </row>
    <row r="27">
      <c r="B27" s="47"/>
      <c r="C27" s="106"/>
      <c r="D27" s="19"/>
      <c r="E27" s="106"/>
      <c r="F27" s="19"/>
      <c r="G27" s="106"/>
      <c r="H27" s="19"/>
      <c r="I27" s="106"/>
      <c r="J27" s="19"/>
      <c r="K27" s="106"/>
    </row>
    <row r="28">
      <c r="B28" s="47"/>
      <c r="C28" s="106"/>
      <c r="D28" s="19"/>
      <c r="E28" s="106"/>
      <c r="F28" s="19"/>
      <c r="G28" s="106"/>
      <c r="H28" s="19"/>
      <c r="I28" s="106"/>
      <c r="J28" s="19"/>
      <c r="K28" s="106"/>
    </row>
    <row r="29">
      <c r="H29" s="19"/>
      <c r="J29" s="19"/>
      <c r="K29" s="107"/>
    </row>
    <row r="30">
      <c r="H30" s="54"/>
      <c r="J30" s="19"/>
      <c r="K30" s="107"/>
    </row>
  </sheetData>
  <mergeCells count="12">
    <mergeCell ref="L1:N1"/>
    <mergeCell ref="O1:Q1"/>
    <mergeCell ref="F1:G1"/>
    <mergeCell ref="J1:K1"/>
    <mergeCell ref="H1:I1"/>
    <mergeCell ref="D1:E1"/>
    <mergeCell ref="B1:C1"/>
    <mergeCell ref="B23:C23"/>
    <mergeCell ref="D23:E23"/>
    <mergeCell ref="F23:G23"/>
    <mergeCell ref="H23:I23"/>
    <mergeCell ref="J23:K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/>
      <c r="B1" s="109" t="s">
        <v>59</v>
      </c>
      <c r="G1" s="19"/>
      <c r="H1" s="19"/>
      <c r="I1" s="110"/>
      <c r="J1" s="111" t="s">
        <v>60</v>
      </c>
      <c r="S1" s="19"/>
    </row>
    <row r="2">
      <c r="A2" s="20" t="s">
        <v>1</v>
      </c>
      <c r="B2" s="112" t="s">
        <v>15</v>
      </c>
      <c r="C2" s="112" t="s">
        <v>16</v>
      </c>
      <c r="D2" s="112" t="s">
        <v>17</v>
      </c>
      <c r="E2" s="112" t="s">
        <v>18</v>
      </c>
      <c r="F2" s="112" t="s">
        <v>19</v>
      </c>
      <c r="G2" s="19"/>
      <c r="H2" s="19"/>
      <c r="I2" s="112" t="s">
        <v>15</v>
      </c>
      <c r="K2" s="113" t="s">
        <v>16</v>
      </c>
      <c r="M2" s="114" t="s">
        <v>17</v>
      </c>
      <c r="O2" s="115" t="s">
        <v>18</v>
      </c>
      <c r="Q2" s="116" t="s">
        <v>19</v>
      </c>
      <c r="S2" s="19"/>
    </row>
    <row r="3">
      <c r="A3" s="117" t="s">
        <v>20</v>
      </c>
      <c r="B3" s="118">
        <v>0.88</v>
      </c>
      <c r="C3" s="118">
        <v>0.85</v>
      </c>
      <c r="D3" s="118">
        <v>0.81</v>
      </c>
      <c r="E3" s="118">
        <v>0.93</v>
      </c>
      <c r="F3" s="118">
        <v>0.96</v>
      </c>
      <c r="G3" s="19"/>
      <c r="H3" s="20" t="s">
        <v>1</v>
      </c>
      <c r="I3" s="117" t="s">
        <v>61</v>
      </c>
      <c r="J3" s="119" t="s">
        <v>62</v>
      </c>
      <c r="K3" s="117" t="s">
        <v>61</v>
      </c>
      <c r="L3" s="119" t="s">
        <v>62</v>
      </c>
      <c r="M3" s="117" t="s">
        <v>61</v>
      </c>
      <c r="N3" s="119" t="s">
        <v>62</v>
      </c>
      <c r="O3" s="117" t="s">
        <v>61</v>
      </c>
      <c r="P3" s="119" t="s">
        <v>62</v>
      </c>
      <c r="Q3" s="117" t="s">
        <v>61</v>
      </c>
      <c r="R3" s="119" t="s">
        <v>62</v>
      </c>
      <c r="S3" s="19"/>
    </row>
    <row r="4">
      <c r="A4" s="117" t="s">
        <v>39</v>
      </c>
      <c r="B4" s="118">
        <v>0.93</v>
      </c>
      <c r="C4" s="118">
        <v>0.88</v>
      </c>
      <c r="D4" s="118">
        <v>0.86</v>
      </c>
      <c r="E4" s="118">
        <v>0.94</v>
      </c>
      <c r="F4" s="118">
        <v>0.95</v>
      </c>
      <c r="G4" s="19"/>
      <c r="H4" s="117" t="s">
        <v>20</v>
      </c>
      <c r="I4" s="19" t="s">
        <v>34</v>
      </c>
      <c r="J4" s="38">
        <v>477.0</v>
      </c>
      <c r="K4" s="19" t="s">
        <v>35</v>
      </c>
      <c r="L4" s="38">
        <v>207.0</v>
      </c>
      <c r="M4" s="19" t="s">
        <v>36</v>
      </c>
      <c r="N4" s="38">
        <v>472.0</v>
      </c>
      <c r="O4" s="19" t="s">
        <v>34</v>
      </c>
      <c r="P4" s="38">
        <v>477.0</v>
      </c>
      <c r="Q4" s="19" t="s">
        <v>34</v>
      </c>
      <c r="R4" s="38">
        <v>477.0</v>
      </c>
      <c r="S4" s="19"/>
    </row>
    <row r="5">
      <c r="A5" s="117" t="s">
        <v>40</v>
      </c>
      <c r="B5" s="118">
        <v>0.93</v>
      </c>
      <c r="C5" s="118">
        <v>0.89</v>
      </c>
      <c r="D5" s="118">
        <v>0.87</v>
      </c>
      <c r="E5" s="118">
        <v>0.94</v>
      </c>
      <c r="F5" s="118">
        <v>0.96</v>
      </c>
      <c r="G5" s="19"/>
      <c r="H5" s="117" t="s">
        <v>39</v>
      </c>
      <c r="I5" s="19" t="s">
        <v>36</v>
      </c>
      <c r="J5" s="38">
        <v>472.0</v>
      </c>
      <c r="K5" s="19" t="s">
        <v>36</v>
      </c>
      <c r="L5" s="38">
        <v>472.0</v>
      </c>
      <c r="M5" s="19" t="s">
        <v>36</v>
      </c>
      <c r="N5" s="38">
        <v>472.0</v>
      </c>
      <c r="O5" s="19" t="s">
        <v>35</v>
      </c>
      <c r="P5" s="38">
        <v>207.0</v>
      </c>
      <c r="Q5" s="19" t="s">
        <v>35</v>
      </c>
      <c r="R5" s="38">
        <v>207.0</v>
      </c>
      <c r="S5" s="19"/>
    </row>
    <row r="6">
      <c r="A6" s="117" t="s">
        <v>54</v>
      </c>
      <c r="B6" s="118">
        <v>0.97</v>
      </c>
      <c r="C6" s="118">
        <v>0.93</v>
      </c>
      <c r="D6" s="118">
        <v>0.93</v>
      </c>
      <c r="E6" s="118">
        <v>0.93</v>
      </c>
      <c r="F6" s="118">
        <v>0.98</v>
      </c>
      <c r="G6" s="19"/>
      <c r="H6" s="117" t="s">
        <v>40</v>
      </c>
      <c r="I6" s="19" t="s">
        <v>37</v>
      </c>
      <c r="J6" s="38">
        <v>153.0</v>
      </c>
      <c r="K6" s="19" t="s">
        <v>36</v>
      </c>
      <c r="L6" s="38">
        <v>472.0</v>
      </c>
      <c r="M6" s="19" t="s">
        <v>37</v>
      </c>
      <c r="N6" s="38">
        <v>153.0</v>
      </c>
      <c r="O6" s="19" t="s">
        <v>34</v>
      </c>
      <c r="P6" s="38">
        <v>477.0</v>
      </c>
      <c r="Q6" s="19" t="s">
        <v>35</v>
      </c>
      <c r="R6" s="38">
        <v>207.0</v>
      </c>
      <c r="S6" s="19"/>
    </row>
    <row r="7">
      <c r="A7" s="19"/>
      <c r="B7" s="19"/>
      <c r="C7" s="19"/>
      <c r="D7" s="19"/>
      <c r="E7" s="19"/>
      <c r="F7" s="19"/>
      <c r="G7" s="19"/>
      <c r="H7" s="117" t="s">
        <v>54</v>
      </c>
      <c r="I7" s="19" t="s">
        <v>36</v>
      </c>
      <c r="J7" s="38">
        <v>472.0</v>
      </c>
      <c r="K7" s="19" t="s">
        <v>35</v>
      </c>
      <c r="L7" s="38">
        <v>207.0</v>
      </c>
      <c r="M7" s="19" t="s">
        <v>36</v>
      </c>
      <c r="N7" s="38">
        <v>472.0</v>
      </c>
      <c r="O7" s="19" t="s">
        <v>37</v>
      </c>
      <c r="P7" s="38">
        <v>153.0</v>
      </c>
      <c r="Q7" s="19" t="s">
        <v>34</v>
      </c>
      <c r="R7" s="38">
        <v>477.0</v>
      </c>
      <c r="S7" s="19"/>
    </row>
    <row r="8">
      <c r="A8" s="19"/>
      <c r="B8" s="19"/>
      <c r="C8" s="19"/>
      <c r="D8" s="19"/>
      <c r="E8" s="19"/>
      <c r="F8" s="19"/>
      <c r="G8" s="19"/>
      <c r="H8" s="117" t="s">
        <v>57</v>
      </c>
      <c r="I8" s="19"/>
      <c r="J8" s="19"/>
      <c r="K8" s="19"/>
      <c r="L8" s="19"/>
      <c r="M8" s="19"/>
      <c r="N8" s="19"/>
      <c r="O8" s="19" t="s">
        <v>34</v>
      </c>
      <c r="P8" s="38">
        <v>477.0</v>
      </c>
      <c r="Q8" s="19" t="s">
        <v>34</v>
      </c>
      <c r="R8" s="38">
        <v>477.0</v>
      </c>
      <c r="S8" s="19"/>
    </row>
    <row r="9">
      <c r="A9" s="19"/>
      <c r="B9" s="19"/>
      <c r="C9" s="19"/>
      <c r="D9" s="19"/>
      <c r="E9" s="19"/>
      <c r="F9" s="19"/>
      <c r="G9" s="19"/>
      <c r="H9" s="117" t="s">
        <v>58</v>
      </c>
      <c r="I9" s="19"/>
      <c r="J9" s="19"/>
      <c r="K9" s="19"/>
      <c r="L9" s="19"/>
      <c r="M9" s="19"/>
      <c r="N9" s="19"/>
      <c r="O9" s="54" t="s">
        <v>38</v>
      </c>
      <c r="P9" s="38">
        <v>471.0</v>
      </c>
      <c r="Q9" s="19" t="s">
        <v>34</v>
      </c>
      <c r="R9" s="38">
        <v>477.0</v>
      </c>
      <c r="S9" s="19"/>
    </row>
    <row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>
      <c r="A12" s="19"/>
      <c r="B12" s="19"/>
      <c r="C12" s="19"/>
      <c r="D12" s="19"/>
      <c r="E12" s="19"/>
      <c r="F12" s="19"/>
      <c r="G12" s="19"/>
      <c r="H12" s="120" t="s">
        <v>63</v>
      </c>
      <c r="I12" s="121" t="s">
        <v>64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</row>
    <row r="13">
      <c r="A13" s="19"/>
      <c r="B13" s="19"/>
      <c r="C13" s="19"/>
      <c r="D13" s="19"/>
      <c r="E13" s="19"/>
      <c r="F13" s="19"/>
      <c r="G13" s="19"/>
      <c r="H13" s="122" t="s">
        <v>34</v>
      </c>
      <c r="I13" s="123">
        <v>477.0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</row>
    <row r="14">
      <c r="A14" s="19"/>
      <c r="B14" s="19"/>
      <c r="C14" s="19"/>
      <c r="D14" s="19"/>
      <c r="E14" s="19"/>
      <c r="F14" s="19"/>
      <c r="G14" s="19"/>
      <c r="H14" s="122" t="s">
        <v>37</v>
      </c>
      <c r="I14" s="123">
        <v>153.0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>
      <c r="A15" s="19"/>
      <c r="B15" s="19"/>
      <c r="C15" s="19"/>
      <c r="D15" s="19"/>
      <c r="E15" s="19"/>
      <c r="F15" s="19"/>
      <c r="G15" s="19"/>
      <c r="H15" s="122" t="s">
        <v>36</v>
      </c>
      <c r="I15" s="123">
        <v>472.0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>
      <c r="A16" s="19"/>
      <c r="B16" s="19"/>
      <c r="C16" s="19"/>
      <c r="D16" s="19"/>
      <c r="E16" s="19"/>
      <c r="F16" s="19"/>
      <c r="G16" s="19"/>
      <c r="H16" s="122" t="s">
        <v>35</v>
      </c>
      <c r="I16" s="123">
        <v>207.0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>
      <c r="A17" s="19"/>
      <c r="B17" s="19"/>
      <c r="C17" s="19"/>
      <c r="D17" s="19"/>
      <c r="E17" s="19"/>
      <c r="F17" s="19"/>
      <c r="G17" s="19"/>
      <c r="H17" s="124" t="s">
        <v>38</v>
      </c>
      <c r="I17" s="123">
        <v>471.0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</sheetData>
  <mergeCells count="7">
    <mergeCell ref="B1:F1"/>
    <mergeCell ref="J1:R1"/>
    <mergeCell ref="I2:J2"/>
    <mergeCell ref="K2:L2"/>
    <mergeCell ref="M2:N2"/>
    <mergeCell ref="O2:P2"/>
    <mergeCell ref="Q2:R2"/>
  </mergeCells>
  <drawing r:id="rId1"/>
</worksheet>
</file>